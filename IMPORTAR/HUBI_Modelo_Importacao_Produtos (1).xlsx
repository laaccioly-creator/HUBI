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mc:AlternateContent xmlns:mc="http://schemas.openxmlformats.org/markup-compatibility/2006">
    <mc:Choice Requires="x15">
      <x15ac:absPath xmlns:x15ac="http://schemas.microsoft.com/office/spreadsheetml/2010/11/ac" url="C:\Users\User\Documents\HUBI\IMPORTAR\"/>
    </mc:Choice>
  </mc:AlternateContent>
  <xr:revisionPtr revIDLastSave="0" documentId="8_{D78A1FBE-3C5B-4936-B09B-C8F555F0FE35}" xr6:coauthVersionLast="47" xr6:coauthVersionMax="47" xr10:uidLastSave="{00000000-0000-0000-0000-000000000000}"/>
  <bookViews>
    <workbookView xWindow="-120" yWindow="-120" windowWidth="24240" windowHeight="13140" xr2:uid="{00000000-000D-0000-FFFF-FFFF00000000}"/>
  </bookViews>
  <sheets>
    <sheet name="Produtos" sheetId="1" r:id="rId1"/>
    <sheet name="Como Preench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0" i="1" l="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<sst xmlns="http://schemas.openxmlformats.org/spreadsheetml/2006/main" count="1839" uniqueCount="454">
  <si>
    <t>Código de Barras (EAN)</t>
  </si>
  <si>
    <t>Código Interno (SKU)</t>
  </si>
  <si>
    <t>Nome do Produto *</t>
  </si>
  <si>
    <t>Categoria</t>
  </si>
  <si>
    <t>Descrição</t>
  </si>
  <si>
    <t>Unidade (UN, KG, L, PCT, CX)</t>
  </si>
  <si>
    <t>Preço Venda / Varejo (R$) *</t>
  </si>
  <si>
    <t>Preço de Custo (R$)</t>
  </si>
  <si>
    <t>Preço Atacado (R$)</t>
  </si>
  <si>
    <t>Preço Distribuidor (R$)</t>
  </si>
  <si>
    <t>Preço Promocional (R$)</t>
  </si>
  <si>
    <t>Estoque Atual</t>
  </si>
  <si>
    <t>Estoque Mínimo</t>
  </si>
  <si>
    <t>Exibir no Catálogo (SIM/NAO)</t>
  </si>
  <si>
    <t>Status (ATIVO/INATIVO)</t>
  </si>
  <si>
    <t>UN</t>
  </si>
  <si>
    <t>SIM</t>
  </si>
  <si>
    <t>ATIVO</t>
  </si>
  <si>
    <t/>
  </si>
  <si>
    <t>GUIA DE IMPORTAÇÃO DE PRODUTOS - HUBI</t>
  </si>
  <si>
    <t>INSTRUÇÕES DE PREENCHIMENTO</t>
  </si>
  <si>
    <t>1. Colunas com asterisco (*) são de preenchimento obrigatório: "Nome do Produto" e "Preço Venda / Varejo".</t>
  </si>
  <si>
    <t>2. Categorias: Se a categoria informada não existir no sistema, ela será criada automaticamente na importação.</t>
  </si>
  <si>
    <t>3. Atualização de Produtos: Se o código de barras, SKU ou nome já existir na sua loja, os dados serão atualizados.</t>
  </si>
  <si>
    <t>4. Novos Produtos: Se o produto não existir no sistema, um novo cadastro será criado com sucesso.</t>
  </si>
  <si>
    <t>5. Preços: Utilize números decimais com ponto ou vírgula (Ex: 12.50 ou 12,50). Não use R$.</t>
  </si>
  <si>
    <t>6. Unidades aceitas: UN, KG, G, L, ML, PCT, CX, FD, M, MT, DZ, PAR.</t>
  </si>
  <si>
    <t>7. Catálogo: Preencha com SIM ou NÃO para controlar a visibilidade na loja online.</t>
  </si>
  <si>
    <t>8. Status: Preencha com ATIVO ou INATIVO.</t>
  </si>
  <si>
    <t>9. DICA: Você também pode usar a função de "Exportar Produtos" do HUBI para gerar a sua base real, editar no Excel e reimportar!</t>
  </si>
  <si>
    <t xml:space="preserve">Calcinha Fio Borboleta Bordada </t>
  </si>
  <si>
    <t>Ducha Yaffa (pequena)</t>
  </si>
  <si>
    <t xml:space="preserve">7167 - Varinha mágica 20 Vibrações </t>
  </si>
  <si>
    <t xml:space="preserve">PA010 - 15,3x4,5cm Prótese sem vibro maciço </t>
  </si>
  <si>
    <t xml:space="preserve">PA013 - 17,5X4CM Prótese sem vibro bege </t>
  </si>
  <si>
    <t>005V - Prótese sem vibro com ventosa(15×3cm)</t>
  </si>
  <si>
    <t>Protese sem vibro - 18x3,5CM (Poseidon)</t>
  </si>
  <si>
    <t>MA159 - Masturbador em formato de ânus (5,5x11,3cm)</t>
  </si>
  <si>
    <t>Prótese sem vibro 17x3,5CM</t>
  </si>
  <si>
    <t xml:space="preserve">6986 - Prótese com vibro em silicone bege (19x4cm) </t>
  </si>
  <si>
    <t>JPrótese sem vibro /bege (Jorginho)</t>
  </si>
  <si>
    <t>Flor com Estimulador clitoriano duplo</t>
  </si>
  <si>
    <t xml:space="preserve">DUO INTENÇÃO (2un) -  BOLINHAS FUNCIONAIS </t>
  </si>
  <si>
    <t xml:space="preserve">DUO SENSAÇÕES (2un) -  BOLINHAS FUNCIONAIS </t>
  </si>
  <si>
    <t xml:space="preserve">DUO DESEJO (2un) -  BOLINHAS FUNCIONAIS </t>
  </si>
  <si>
    <t xml:space="preserve">DUO OUSADIA (2un) -  BOLINHAS FUNCIONAIS </t>
  </si>
  <si>
    <t xml:space="preserve">Tesao Energético </t>
  </si>
  <si>
    <t xml:space="preserve">Tesão de Jegue </t>
  </si>
  <si>
    <t>Tesão de Touro</t>
  </si>
  <si>
    <t xml:space="preserve">DUO LOUCURAS (2un) -  BOLINHAS FUNCIONAIS </t>
  </si>
  <si>
    <t>051VMP1- DUPLO HAVAIANO</t>
  </si>
  <si>
    <t xml:space="preserve">Kit Apertadinha 15ml </t>
  </si>
  <si>
    <t xml:space="preserve">Kit Anuket </t>
  </si>
  <si>
    <t>Calcinha Fio Nomes Coração Bordada</t>
  </si>
  <si>
    <t>Calcinha fio Brilha no Escuro</t>
  </si>
  <si>
    <t>OLEO BEIJÁVEL HOT CHOCOLATE 30ML</t>
  </si>
  <si>
    <t>INSANO FIRE 15ML</t>
  </si>
  <si>
    <t xml:space="preserve">Letra ou emojis (para calcinha personalizável </t>
  </si>
  <si>
    <t xml:space="preserve">Lanterna Ânus Trophy CUP - Masturbador c/vibro </t>
  </si>
  <si>
    <t xml:space="preserve">Fantasia do Brasil </t>
  </si>
  <si>
    <t>Vagina em cyber skin com vibro</t>
  </si>
  <si>
    <t>6984 - Penis silicone com vibro 22x4,5cm</t>
  </si>
  <si>
    <t xml:space="preserve">Calcinha Personalizável </t>
  </si>
  <si>
    <t>KIT 6 - OLEO BEIJAVEL+ANEL VIBRATORIO + TANGA SAFADINHA</t>
  </si>
  <si>
    <t>KIT 5 - FANTASIA + LOVE LUB</t>
  </si>
  <si>
    <t>KIT 4 - APERTADINHA + OLEO BEIJAVEL + ALGEMA</t>
  </si>
  <si>
    <t>KIT 3 - BULLET + TREME TREME 15ML + LOVE LUB</t>
  </si>
  <si>
    <t>KIT 2 - XANA LOUCA 15ML + EGG + ÓLEO 3X1</t>
  </si>
  <si>
    <t>KIT 1 - ANUKET+GOLFINHO+LOVE LUB</t>
  </si>
  <si>
    <t>AN008 - ANEL COMPANHEIRO 16X3,6CM</t>
  </si>
  <si>
    <t xml:space="preserve">Fantasia Secretária </t>
  </si>
  <si>
    <t>Fantasia Tigresa</t>
  </si>
  <si>
    <t>5104 - Vibrador Jelly Ponto G</t>
  </si>
  <si>
    <t>VB033 - Vibrador Bolinha Jelly</t>
  </si>
  <si>
    <t>Bolinha Funcional 3un</t>
  </si>
  <si>
    <t>6011 - Vibrador Rotativo Ponto G Coelhino recarregável</t>
  </si>
  <si>
    <t>Preservativo Rilex Lubrificado  3un</t>
  </si>
  <si>
    <t>Preservativo Rilex Uva 3un</t>
  </si>
  <si>
    <t>Preservativo Rilex Tutti Fruti 3un</t>
  </si>
  <si>
    <t>Preservativo Rilex Menta  3un</t>
  </si>
  <si>
    <t>Preservativo Rilex Morango 3un</t>
  </si>
  <si>
    <t>Rosa Cúpula IZUMI</t>
  </si>
  <si>
    <t>8153 - ROSA/LÍNGUA SUCÇÃO 10 VIB</t>
  </si>
  <si>
    <t>Tanga Anita Pingente</t>
  </si>
  <si>
    <t xml:space="preserve">Tanga Anita Strass </t>
  </si>
  <si>
    <t xml:space="preserve">7399 - Vibrador Olly </t>
  </si>
  <si>
    <t>Bolinha Funcional Hot c/ 4un.</t>
  </si>
  <si>
    <t>Bolinha Funcional Chinezinha c/4un</t>
  </si>
  <si>
    <t>Bolinha Funcional Hot RDBull</t>
  </si>
  <si>
    <t>Bolinha Funcional Tornado</t>
  </si>
  <si>
    <t xml:space="preserve">7580 - Vibrador com estimulador clitóris e plug anal </t>
  </si>
  <si>
    <t>Vibrador Rotativo Ponto G recarregável</t>
  </si>
  <si>
    <t xml:space="preserve">8489 - Vibrador Rotativo 9 vibrações,  recarregável </t>
  </si>
  <si>
    <t>TESAO DE TOURO</t>
  </si>
  <si>
    <t xml:space="preserve">Bolinha 50 Tons </t>
  </si>
  <si>
    <t>KIT REVENDA</t>
  </si>
  <si>
    <t>8218 - PN REAL. VIBRO C/ESC. 19X4CM</t>
  </si>
  <si>
    <t>8221 - PN REAL BG VIBRO C/ ESC. 19X4,8CM</t>
  </si>
  <si>
    <t>SS006V - PN C/VIBRO 16,5 X 4,2CM</t>
  </si>
  <si>
    <t>G5SACVBG -PROTESE C/VIBRO 13,5 X 3,9CM</t>
  </si>
  <si>
    <t>G6FSVBGC - PROTESE 15,5 X 4CM</t>
  </si>
  <si>
    <t>G6DSVBG - PROTESE 15,3 X 3,5CM</t>
  </si>
  <si>
    <t>G7CSVBGC - GARANHÃO 17 X 3,9CM</t>
  </si>
  <si>
    <t>TORSVGB - PROTESE S/VIBRO 14 X 3,4CM</t>
  </si>
  <si>
    <t>7333 - PROTESE NAT. C/ VENTOSA 19X4CM</t>
  </si>
  <si>
    <t>KT132-PROTESE 13,5X3,3CM BEGE</t>
  </si>
  <si>
    <t>KTM307-PN VIBRO INTERNO 17,5X3,8CM</t>
  </si>
  <si>
    <t>KTP132 - PROT.P/CINTA 13,5X3,5CM BEGE</t>
  </si>
  <si>
    <t>150V - PN POSEIDON COM VIBRO</t>
  </si>
  <si>
    <t>DI-026- PN REALITISCO C/ESCVENTOSA 18X3,8CM</t>
  </si>
  <si>
    <t>DI-025- PN REALITISCO C/ESCVENTOSA 16X4CM</t>
  </si>
  <si>
    <t>DI-023 - PN REALIOTICO C/VIB 22,5X4CM</t>
  </si>
  <si>
    <t>DI-018 PROT. REALISTISCA C/VIB ESC. 21X3,5CM</t>
  </si>
  <si>
    <t>DI-118 - PROT. REALISTICA TRANSP. C/VENTOSA 18,5X3,4CM</t>
  </si>
  <si>
    <t>DI-094 - PROTESE REALISTICA TRANSP C/VENTOSA 20X3,8CM</t>
  </si>
  <si>
    <t>DI-003 - PN RELAISTICO TRANPARENTE S/VIB 17,5X3,5</t>
  </si>
  <si>
    <t>BW-007006GC - PN SIL.REALISTICO C/VENTOSA 21X3,7CM</t>
  </si>
  <si>
    <t>BW001050R - PN REALISTICO VIBRO 21,5X4,2</t>
  </si>
  <si>
    <t>040V - PN RICARDAO 15 X 3,7</t>
  </si>
  <si>
    <t>015M - PN GARANHÃO 19 X 4,5</t>
  </si>
  <si>
    <t>015V - PN GARANHAO VIBRO 19 X 4</t>
  </si>
  <si>
    <t>129M - PN MINOTAURO 15 X 4</t>
  </si>
  <si>
    <t>039M - ANEL COMPANEIRO S/VIBRO</t>
  </si>
  <si>
    <t>039G - ANEL COMP LOVANAL VIBRO</t>
  </si>
  <si>
    <t>5529 - PN VIBRO CYBER SKIN 21 X 3</t>
  </si>
  <si>
    <t>5430 - VIBRADOR DILDO 22,6 X 4</t>
  </si>
  <si>
    <t>002M - PN TOB 16 X 4</t>
  </si>
  <si>
    <t>009V - PN GEMINI VIBRO 15 X 3</t>
  </si>
  <si>
    <t>009M - PN GEMINI COM VEIAS 15,5 X 3</t>
  </si>
  <si>
    <t>017V - PN MINGUS 14,5 X 3,7</t>
  </si>
  <si>
    <t>150M - PN POSEIDON 16 X 4</t>
  </si>
  <si>
    <t>006V - PN GEMINI VENTOSA 14,5 X 3,5</t>
  </si>
  <si>
    <t>039BM - ANEL COMP LOVANAL II 14,5 X 2,7</t>
  </si>
  <si>
    <t>148M - PN FUZILE 15 X 3</t>
  </si>
  <si>
    <t>6884 - PN VIBRO SOFT SKIN 22,5 X 4,5</t>
  </si>
  <si>
    <t>014V - PN GARANHAO III 16,5 X 3,7</t>
  </si>
  <si>
    <t>039BV - ANEL COMPANHEIRO VIBRO 14,5 X 2,7</t>
  </si>
  <si>
    <t>141M - PN CHINEZINHO 14 X 3</t>
  </si>
  <si>
    <t>CINTA PENIANA</t>
  </si>
  <si>
    <t>ALGEMA METAL / PELUCIA</t>
  </si>
  <si>
    <t>KIT ENFERMEIRA</t>
  </si>
  <si>
    <t>KIT TIAZINHA</t>
  </si>
  <si>
    <t>CHICOTE MULHER GATO</t>
  </si>
  <si>
    <t>CHIBATA GOTA</t>
  </si>
  <si>
    <t>CHIBATA MAOZINHA</t>
  </si>
  <si>
    <t>VENDA PELUCIA</t>
  </si>
  <si>
    <t>KIT PELUCIA MULHER GATO</t>
  </si>
  <si>
    <t>MORDAÇA BOLA</t>
  </si>
  <si>
    <t>MORDAÇA BASTAO</t>
  </si>
  <si>
    <t>HARNESS COURO</t>
  </si>
  <si>
    <t>ALGEMA PESCOÇO PUNHO</t>
  </si>
  <si>
    <t>SD-173 CHICOTE FRANJA CABO BRILHANTE</t>
  </si>
  <si>
    <t>VENDA COURO</t>
  </si>
  <si>
    <t>PORTA CANETA PENIS</t>
  </si>
  <si>
    <t>SG0352 - SAGAN GATINHO LINGUA
10VIB</t>
  </si>
  <si>
    <t>XV1019 - VIBRADOR ROTATIVO VAI E VEM</t>
  </si>
  <si>
    <t>7288 - MAGIC ROSE</t>
  </si>
  <si>
    <t>EC-012 VIBRO CONTROLE REMOTO AMANRAYA</t>
  </si>
  <si>
    <t xml:space="preserve">EC-011 VIBRO CONTROLE REMOTO CROWN </t>
  </si>
  <si>
    <t>1014 - MASTURBADOR  MASCULINO LANTERNA</t>
  </si>
  <si>
    <t>CINTA  PROTESE 14X3,5CM</t>
  </si>
  <si>
    <t>PG031A - VIBRADOR SIL. 10VIB. GIMME MORE</t>
  </si>
  <si>
    <t xml:space="preserve">5463 - VIBRADOR PERSONAL COM  CAPA TEXTURIZADA </t>
  </si>
  <si>
    <t>7166 - VIB VARINHA 20VIB.</t>
  </si>
  <si>
    <t>PORTA CANETA BUMBUM</t>
  </si>
  <si>
    <t>DADO STREP TEASE 1UN</t>
  </si>
  <si>
    <t>7286 VIB FUNNY CAT</t>
  </si>
  <si>
    <t>DH-010 -DUCHA ANAL MACIA 224ML</t>
  </si>
  <si>
    <t>LA-90008 - CAPSULA LONGA 10 VIB</t>
  </si>
  <si>
    <t>PLUG RABO RAPOSA</t>
  </si>
  <si>
    <t>ANEL MEGA STRECH</t>
  </si>
  <si>
    <t>VIBRADOR CISNE BRANCO - CASAL /BLUETOOTH</t>
  </si>
  <si>
    <t>PERSONAL / PLUG</t>
  </si>
  <si>
    <t>7480 - VIBRADOR BORN 10 VIB</t>
  </si>
  <si>
    <t xml:space="preserve">7949 - MINI VARINHA MAGICA 10 VIB Stick </t>
  </si>
  <si>
    <t>CAPA PENIANA CYBERSKIN</t>
  </si>
  <si>
    <t>VIBRO SUCCAO PORQUINHO</t>
  </si>
  <si>
    <t>VIBRADOR PINCEL BLUSH</t>
  </si>
  <si>
    <t>VARINHA LILLO</t>
  </si>
  <si>
    <t>7633 - VIBRADOR SOPHIE</t>
  </si>
  <si>
    <t>CAPA PENIANA TEXTURIZADA</t>
  </si>
  <si>
    <t>PLUG ESCALA SILICONE</t>
  </si>
  <si>
    <t>PLUG JOIA METAL G</t>
  </si>
  <si>
    <t>PLUG JOIA METAL M</t>
  </si>
  <si>
    <t>VIBRADOR BATOM LIPSTICK</t>
  </si>
  <si>
    <t>VIBRADOR GOLFINHO PONTO G</t>
  </si>
  <si>
    <t>EGG - OVINHO MASTURBADOR</t>
  </si>
  <si>
    <t>BULLET - CAPSULA VIBRATORIA</t>
  </si>
  <si>
    <t>VIBRADOR DEDEIRA</t>
  </si>
  <si>
    <t>ANEL VIBRATORIO DUPLO</t>
  </si>
  <si>
    <t>PLUG JOIA METAL P</t>
  </si>
  <si>
    <t>ANEL VIBRATORIO</t>
  </si>
  <si>
    <t>VIBRO SUGADOR CARTOON FAWN</t>
  </si>
  <si>
    <t>VIBRADOR SOBE E DESCE REC</t>
  </si>
  <si>
    <t>CAPSULA VIBRO TORPEDO</t>
  </si>
  <si>
    <t>PERSONAL VIBRADOR 17,5 X 2,8 CM</t>
  </si>
  <si>
    <t>VIBRADOR REALISTICO 21,5 X 4,2 CM</t>
  </si>
  <si>
    <t>VIBRADOR ROTATIVO TRIPLO</t>
  </si>
  <si>
    <t>DILDO VIBRO ROCKIN DONG</t>
  </si>
  <si>
    <t>PENIS REALISTICO VIBRO</t>
  </si>
  <si>
    <t>DILDO VIBRO FANTASY VIBE</t>
  </si>
  <si>
    <t>7937 - VIBRO/SUGADOR  ROSA 10V/REC</t>
  </si>
  <si>
    <t>FANTASIA GARÇONETE</t>
  </si>
  <si>
    <t>FANTASIA ENFERMEIRA SEXY</t>
  </si>
  <si>
    <t>FANTASIA ENFERMEIRA LUXO</t>
  </si>
  <si>
    <t>FANTASIA EMPREGADINHA</t>
  </si>
  <si>
    <t>FANTASIA DIABINHA</t>
  </si>
  <si>
    <t>FANTASIA TIAZINHA</t>
  </si>
  <si>
    <t>TANGA FIO</t>
  </si>
  <si>
    <t>FANTASIA MINI NOIVA</t>
  </si>
  <si>
    <t>FANTASIA BOMBEIRA SEXY</t>
  </si>
  <si>
    <t>CALCINHA TAILANDESA</t>
  </si>
  <si>
    <t>KIT TANGA FIO</t>
  </si>
  <si>
    <t>TANGA BIJU</t>
  </si>
  <si>
    <t>FANTASIA COLEGIAL LUXO</t>
  </si>
  <si>
    <t>TANGA FIO NOMES</t>
  </si>
  <si>
    <t>FANTASIA AEROMOÇA</t>
  </si>
  <si>
    <t>FANTASIA ONCINHA SAIA</t>
  </si>
  <si>
    <t>FANTASIA ONCINHA</t>
  </si>
  <si>
    <t>FANTASIA COELHINHA</t>
  </si>
  <si>
    <t>TANGA SECRET</t>
  </si>
  <si>
    <t>FANTASIA CONJUNTO FITA</t>
  </si>
  <si>
    <t>TANGA PEROLA</t>
  </si>
  <si>
    <t>FANTASIA POLICE</t>
  </si>
  <si>
    <t>FANTASIA NOIVINHA</t>
  </si>
  <si>
    <t>FANTASIA NOIVA</t>
  </si>
  <si>
    <t>FANTASIA MULHER GATO</t>
  </si>
  <si>
    <t>FANTASIA MINI SALVA VIDAS</t>
  </si>
  <si>
    <t>FANTASIA MINI PATRICINHA</t>
  </si>
  <si>
    <t>FANTASIA MINI ENFERMEIRA</t>
  </si>
  <si>
    <t>FANTASIA MINI BOMBEIRA</t>
  </si>
  <si>
    <t>FANTASIA MARINHEIRA</t>
  </si>
  <si>
    <t>TANGA SAFADINHA</t>
  </si>
  <si>
    <t>PERSEX</t>
  </si>
  <si>
    <t>CUECA JOCKSTRAP</t>
  </si>
  <si>
    <t>TANGA SEXY</t>
  </si>
  <si>
    <t>FANTASIA SALVA VIDAS</t>
  </si>
  <si>
    <t>FANTASIA GATINHA SEXY</t>
  </si>
  <si>
    <t>VENUS PULSE 4G - GEL FEMININO</t>
  </si>
  <si>
    <t>VENUS PULSE 15 ML - GEL FEMININO</t>
  </si>
  <si>
    <t>TWISTER 4GR - GEL UNISSEX</t>
  </si>
  <si>
    <t>TWISTER 15 ML - GEL UNISSEX</t>
  </si>
  <si>
    <t>TREME TREME 4GR - GEL UNISSEX</t>
  </si>
  <si>
    <t>TREME TREME 15 ML - GEL UNISSEX</t>
  </si>
  <si>
    <t>SEXY INTIMUS VERMELHO</t>
  </si>
  <si>
    <t>SEXY INTIMUS LILAS</t>
  </si>
  <si>
    <t>SEXY INTIMUS ROSA</t>
  </si>
  <si>
    <t>SENSATION 5X1 - 4GR</t>
  </si>
  <si>
    <t>SENSATION 5X1 - 15ML</t>
  </si>
  <si>
    <t>RETARDÉ 4GR</t>
  </si>
  <si>
    <t>RETARDÉ 15ML</t>
  </si>
  <si>
    <t>PERFUME PHERO</t>
  </si>
  <si>
    <t>ORGASTIC 4G - GEL FEMININO</t>
  </si>
  <si>
    <t>ORGASTIC 15 ML - GEL FEMININO</t>
  </si>
  <si>
    <t>OLEO PERFUMADO DO BOTO ROSA</t>
  </si>
  <si>
    <t>OLEO PERFUMADO DO BOTO VERDE</t>
  </si>
  <si>
    <t>ÓLEO PARA MASSAGEM SEDUÇÃO</t>
  </si>
  <si>
    <t>ÓLEO PARA MASSAGEM ROMANCE</t>
  </si>
  <si>
    <t>ÓLEO PARA MASSAGEM PAIXÃO</t>
  </si>
  <si>
    <t>OLEO BEIJÁVEL ICE ESPANHOLA 30ML</t>
  </si>
  <si>
    <t>OLEO BEIJÁVEL ICE CHICLETE 30ML</t>
  </si>
  <si>
    <t>OLEO BEIJÁVEL ICE CAIPIRINHA 30ML</t>
  </si>
  <si>
    <t>CANETA CHCOCOLATE</t>
  </si>
  <si>
    <t>CANETA MORANGO</t>
  </si>
  <si>
    <t>CANETA MENTA</t>
  </si>
  <si>
    <t>XANA LOUCA D 4G - GEL FEMININO</t>
  </si>
  <si>
    <t>XANA LOUCA D 15 ML - GEL FEMININO</t>
  </si>
  <si>
    <t>XANA HOT 4 GR - GEL FEMININO</t>
  </si>
  <si>
    <t>XANA HOT 15 ML - GEL FEMININO</t>
  </si>
  <si>
    <t>XANA FIRE ICE 4G - GEL FEMININO</t>
  </si>
  <si>
    <t>XANA FIRE ICE 15 ML - GEL FEMININO</t>
  </si>
  <si>
    <t>VULCANO 4GR - GEL UNISSEX</t>
  </si>
  <si>
    <t>VULCANO 15ML - EXCITANTE UNISSEX</t>
  </si>
  <si>
    <t>OLEO BEIJÁVEL ICE CHOCOMENTA 30ML</t>
  </si>
  <si>
    <t>OLEO BEIJÁVEL ICE BLACK 30ML</t>
  </si>
  <si>
    <t>OLEO BEIJÁVEL ICE MENTA 30ML</t>
  </si>
  <si>
    <t>OLEO BEIJÁVEL ICE MORANGO 30ML</t>
  </si>
  <si>
    <t>OLEO BEIJÁVEL HOT UVA 30ML</t>
  </si>
  <si>
    <t>OLEO BEIJÁVEL HOT ESPANHOLA 30ML</t>
  </si>
  <si>
    <t>OLEO BEIJÁVEL HOT CHOCOMENTA 30ML</t>
  </si>
  <si>
    <t>OLEO BEIJÁVEL HOT CHOCOLATE PIMENTA 30ML</t>
  </si>
  <si>
    <t>OLEO BEIJÁVEL HOT FRUTAS VERM 30ML</t>
  </si>
  <si>
    <t>OLEO BEIJÁVEL HOT TUTTI 30ML</t>
  </si>
  <si>
    <t>OLEO BEIJÁVEL HOT CLICLETE 30ML</t>
  </si>
  <si>
    <t>OLEO BEIJÁVEL HOT CAIPIRINHA 30ML</t>
  </si>
  <si>
    <t>OLEO BEIJÁVEL HOT MORANGO CHAMP 30ML</t>
  </si>
  <si>
    <t>OLEO BEIJÁVEL HOT MORANGO 30ML</t>
  </si>
  <si>
    <t>OLEO BEIJÁVEL HOT MENTA 30ML</t>
  </si>
  <si>
    <t>MEGA VOLUMÃO 4GR</t>
  </si>
  <si>
    <t>MEGA VOLUMÃO 15 ML</t>
  </si>
  <si>
    <t>ÓLEO LUBRIFICANTE 3 X 1 - MORANGO 30ML</t>
  </si>
  <si>
    <t>ÓLEO LUBRIFICANTE 3 X 1 - MENTA 30M</t>
  </si>
  <si>
    <t>ÓLEO LUBRIFICANTE 3 X 1 - MORANGO 100ML</t>
  </si>
  <si>
    <t>ÓLEO LUBRIFICANTE 3 X 1 - MENTA 100ML</t>
  </si>
  <si>
    <t>LOVE LUB MORANGO 100 ML</t>
  </si>
  <si>
    <t>LOVE LUB MENTA 100 ML</t>
  </si>
  <si>
    <t>LOVE LUB FRESH 100 ML</t>
  </si>
  <si>
    <t>LOVE LUB NEUTRO 100 ML</t>
  </si>
  <si>
    <t>LOVE LUB 30ML -TUTTI</t>
  </si>
  <si>
    <t>LOVE LUB 30ML -MORANGO CHAMP</t>
  </si>
  <si>
    <t>LOVE LUB 30ML -MORANGO</t>
  </si>
  <si>
    <t>LOVE LUB 30ML -MENTA</t>
  </si>
  <si>
    <t>LOVE LUB 30ML -FRESH</t>
  </si>
  <si>
    <t>LOVE LUB 30ML - NEUTRO</t>
  </si>
  <si>
    <t>INFLATE MAN 4GR</t>
  </si>
  <si>
    <t>INFLATE MAN 15 ML</t>
  </si>
  <si>
    <t>GOTINHAS DE PRAZER</t>
  </si>
  <si>
    <t>GARGANTA PROFUNDA FRUTAS VERMELHAS 15ML</t>
  </si>
  <si>
    <t>GARGANTA PROFUNDA CAIPIRINHA 15ML</t>
  </si>
  <si>
    <t>GARGANTA PROFUNDA MORANGO 15ML</t>
  </si>
  <si>
    <t>GARGANTA PROFUNDA MENTA COM CEREJA 15ML</t>
  </si>
  <si>
    <t>GARGANTA PROFUNDA MENTA 15ML</t>
  </si>
  <si>
    <t>ERECT PLUS 4GR</t>
  </si>
  <si>
    <t>ERECT PLUS 15 ML</t>
  </si>
  <si>
    <t>ELETRIC BOMB 15ML - SPRAY FRUTAS VERMELHAS</t>
  </si>
  <si>
    <t>ELETRIC BOMB 15ML - SPRAY MORANGO CHAMP</t>
  </si>
  <si>
    <t>ELETRIC BOMB 15ML - SPRAY MENTA COM CEREJA</t>
  </si>
  <si>
    <t>ELETRIC BOMB 15ML - SPRAY MENTA</t>
  </si>
  <si>
    <t>ELETRIC BOMB 15ML - SPRAY MORANGO</t>
  </si>
  <si>
    <t>EASY 100 4G</t>
  </si>
  <si>
    <t>BEIJO GREGO 15ML - SPRAY MENTA COM CEREJA</t>
  </si>
  <si>
    <t>BEIJO GREGO 15ML - SPRAY MENTA</t>
  </si>
  <si>
    <t>BEIJO GREGO 15ML - SPRAY MORANGO</t>
  </si>
  <si>
    <t>APERTADINHA FRESH 4G - GEL ADSTRINGENTE</t>
  </si>
  <si>
    <t>APERTADINHA FRESH 15 ML - GEL ADSTRINGENTE</t>
  </si>
  <si>
    <t>APERTADINHA 4 GRAMAS - GEL ADSTRINGENTE</t>
  </si>
  <si>
    <t>APERTADINHA 15ML - GEL ADSTRINGENTE</t>
  </si>
  <si>
    <t>ANUKET HARD 4G - GEL UMECTANTE</t>
  </si>
  <si>
    <t>EASY 100 15ML</t>
  </si>
  <si>
    <t>CRONOS 4G - GEL RETARDANTE</t>
  </si>
  <si>
    <t>CRONOS 15 ML - GEL RETARDANTE</t>
  </si>
  <si>
    <t>CHEFÃO FIRE ICE 4GR - GEL MASCULINO</t>
  </si>
  <si>
    <t>CHEFÃO FIRE ICE 15ML - GEL MASCULINO</t>
  </si>
  <si>
    <t>CHEFÃO 4GR - GEL MASCULINO</t>
  </si>
  <si>
    <t>CHEFÃO 15ML - GEL MASCULINO</t>
  </si>
  <si>
    <t>BEIJO GREGO 15ML - SPRAY CHOCOMENTA</t>
  </si>
  <si>
    <t>BEIJO GREGO 15ML - SPRAY TUTTI</t>
  </si>
  <si>
    <t>ANUKET HARD 15 ML - GEL UMECTANTE</t>
  </si>
  <si>
    <t>FANTASIAS</t>
  </si>
  <si>
    <t>BRNQUEDOS EROTICOS</t>
  </si>
  <si>
    <t>PROTESES</t>
  </si>
  <si>
    <t>COSMETICOS</t>
  </si>
  <si>
    <t>COURO / SADO</t>
  </si>
  <si>
    <t>As bolinhas funcionais Furacão + 50 Tons Escuros, oferecem uma experiência única de uso, combinando sensações de esquenta e esfria, excita e vibra, lubrificante e deixando uma sensação única de deslize.
A embalagem contém duas unidades, permitindo que você experimente diferentes combinações e crie momentos de diversão e relaxamento.</t>
  </si>
  <si>
    <t>Com uma combinação única de sensações, as bolinhas funcionais oferecem uma experiência envolvente e prazerosa. Cada unidade é projetada para estimular os sentidos, proporcionando momentos de diversão e relaxamento.
Ideal para quem busca explorar novas sensações, o DUO Sensações (Hot esquenta + Ice Gela) é perfeito para compartilhar com um parceiro ou para uso individual. Descubra a versatilidade e a inovação que essas bolinhas trazem ao seu dia a dia.</t>
  </si>
  <si>
    <t>As bolinhas funcionais, o DUO DESEJO (CHINESINHA +COBRA REI (2un) oferece uma experiência única de bem-estar. Combinando texturas e aromas agradáveis, essas bolinhas são ideais para momentos de relaxamento e autocuidado. 
Perfeitas para serem utilizadas em banhos ou como parte de um ritual de spa em casa, elas ajudam a criar um ambiente tranquilo e revigorante. 
Experimente a sensação de leveza e tranquilidade que o DUO DESEJO proporciona.</t>
  </si>
  <si>
    <t>As bolinhas funcionais, o DUO Loucuras oferece duas experiências únicas: Mel Treme/Beijável e Tornado. 
Cada bolinha é projetada para proporcionar sensações distintas, elevando momentos de prazer e diversão. A combinação de texturas e sabores promete surpreender e encantar, tornando cada uso uma nova descoberta.
Ideal para quem busca explorar novas sensações de forma prática e inovadora.</t>
  </si>
  <si>
    <t xml:space="preserve">
Energético afrodisíaco unissex. Com uma fórmula energizante, Tesao Energético é ideal para quem busca um impulso extra no dia a dia. 
Sua composição promove vitalidade e disposição, ajudando a combater a fadiga. É uma escolha prática para momentos em que a energia é necessária.
Pronto para beber. Sabores Energético e Maçã Verde</t>
  </si>
  <si>
    <t xml:space="preserve">Com um sabor refrescante de laranja, o Tesão Jegue é um energético afrodisíaco masculino, pronto para beber. Formulado para proporcionar um impulso de energia e vitalidade, é ideal para momentos que exigem um pouco mais de disposição. 
</t>
  </si>
  <si>
    <t>Um energético afrodisíaco masculino, sabor colapronto para beber, que proporciona um impulso de energia e vitalidade. Com uma fórmula especialmente desenvolvida, o Tesão de Touro é ideal para momentos em que você deseja aumentar sua disposição e performance.
Sua composição única combina ingredientes que favorecem a circulação e a libido, oferecendo uma experiência revitalizante e estimulante. Aproveite os benefícios de um estimulante que pode ser consumido a qualquer hora do dia.</t>
  </si>
  <si>
    <t>As bolinhas DUO oferecem duas experiências sensoriais distintas em um único potinho. (HOT/ICE + TORNADO)
Cada conjunto contém duas bolinhas, cada uma com uma sensação única, proporcionando momentos de relaxamento e estímulo.
Perfeitas para quem busca alívio do estresse ou simplesmente quer explorar novas sensações, essas bolinhas são uma adição versátil ao seu dia a dia. Use-as em momentos de pausa ou para complementar práticas de mindfulness.</t>
  </si>
  <si>
    <t>O ÓLEO BEIJAVEL É UM PRODUTO COM DELICIOSO SABOR, LUBRIFICANDO E EXCITANDO, INDICADO PARA AS PRELIMINARES, ÓTIMO PARA MASSAGEM SENSUAL, SEXO ORAL, ANAL E VAGINAL COM A AÇÃO HOT (ESQUENTA) APÓS ENTRAR EM CONTATO COM A PELE BASTA DAR UM LEVE ASSOPRO QUE IRÁ POTENCIALIZAR A SUA SENSAÇÃO.</t>
  </si>
  <si>
    <t>FANTASIA LUXO + LUBRIFICANTE LOVE LUB</t>
  </si>
  <si>
    <t>KIT 2 - XANA LOUCA + OLEO 3X1 + EGG</t>
  </si>
  <si>
    <t>KIT CONTENDO 1 ANUKET , 1 GOLFINHO E 1 LOVE LUB</t>
  </si>
  <si>
    <t>Com um design flexível e suave, o vibrador Jelly Ponto G é ideal para estimular de forma precisa a zona erógena. Alimentado por pilhas AA ele oferece praticidade e facilidade de uso. 
Seu formato anatômico permite uma experiência confortável e prazerosa, tornando-o uma excelente escolha para quem busca explorar novas sensações.</t>
  </si>
  <si>
    <t>Com seu design em silicone macio, o vibrador bolinha oferece uma experiência agradável e confortável. Funciona com pilha AA, proporcionando praticidade e facilidade de uso.</t>
  </si>
  <si>
    <t>Vibrador recarregavel. Ponto G.
Possui 10 modos de vibração e estimulo do clitoris coelhinho. Acompanha cabo USB
material: silicone + ABS</t>
  </si>
  <si>
    <t xml:space="preserve">Recarregável 
10 vibrações e pulsações 
Sucção e língua vibratória </t>
  </si>
  <si>
    <t>Vibrador sucção/lingua com 10 modos de vibração e pulsação + 10 modos de estimulaçao da lingua</t>
  </si>
  <si>
    <t>Com 7 modos de vibração, o vibrador Olly oferece uma experiência personalizada para cada momento. Seu design em formato de coelhinho proporciona estimulação direta ao clitóris, aumentando o prazer. 
Além disso, é recarregável, garantindo praticidade e sustentabilidade. Ideal para quem busca explorar novas sensações de forma confortável e eficiente.</t>
  </si>
  <si>
    <t>A Bolinha Funcional Hot proporciona uma sensação de aquecimento, lubrificando e excitando durante o uso. Ideal para apimentar momentos de intimidade, esse produto é fácil de usar e pode ser integrado a diversas experiências. 
Com quatro unidades na embalagem, é uma opção prática e versátil para quem busca explorar novas sensações de forma segura e prazerosa.</t>
  </si>
  <si>
    <t>Proporciona sensação de Aquecimento e Leves Vibrações com Aroma de Canela.</t>
  </si>
  <si>
    <t xml:space="preserve">Experimente a sensação de aquecimento com a Bolinha Funcional Hot RDBull, que combina sabor e aroma de energético. 
</t>
  </si>
  <si>
    <t xml:space="preserve">A bolinha funcional Tornado é uma cápsula inovadora feita de gelatina, projetada para proporcionar uma experiência única. Com suas funções de lubrificação, aquecimento, vibração e excitação, ela oferece estímulos variados que podem intensificar momentos de prazer. 
</t>
  </si>
  <si>
    <t>Vibrador rotativo recarregável Ponto G. Possui 12 modos de vibração. Acompanha USB.
Material: Silicone + ABS</t>
  </si>
  <si>
    <t xml:space="preserve">Vibrador rotativo,  recarregável,  com estimulador Coelho, 9 modos de vibração e 6 modos de rotação.  Material: TPS , ABS e componentes eletrônicos </t>
  </si>
  <si>
    <t>O Tesão de Touro é o estimulante natural afrodisíaco que você estava procurando! Perfeito para homens que desejam aumentar o apetite sexual e transformar suas noites em momentos cheios de energia e disposição, este produto vai fazer você subir pelas paredes de tanto desejo. Prepare-se para explorar cada momento ao máximo!</t>
  </si>
  <si>
    <t>Bolinha 50 tons é uma cápsula
feita em gelatina que lubrifica,
esquenta, vibra e é excitante</t>
  </si>
  <si>
    <t>As algemas servem para noites de muito fogo e prazer, onde você poderá soltar a sua imaginação como nunca, seu revestimento em pelúcia serve para não te machucar e deixar tudo ainda mais confortável e prazeroso.</t>
  </si>
  <si>
    <t>Explore o Prazer e o Controle. O Chicote é perfeito para casais que desejam adicionar um toque de emoção e aventura à sua vida amorosa.</t>
  </si>
  <si>
    <t>Chibata em couro sintético, com 30 cm de comprimento para momento de prazer e loucura. embalagem em saco plástico.</t>
  </si>
  <si>
    <t xml:space="preserve">Entre na brincadeira e apimente as coisas entre o casal. Deixe a imaginação fluir, você também pode incrementar com acessórios, como Algemas, Chicote, brinquedos, etc.
O que a Fantasia oferece?
• Prazer;
• Aumento da libido
• Novas experiências;;
• Visual provocante;
• Fetiche;
</t>
  </si>
  <si>
    <t>A MORDAÇA É CONFECCIONADA DE FORMA ARTESANAL EM MADEIRA COM REVESTIMENTO EMBORRACHADO. POSSUI ALÇA AJUSTÁVEL E REGULÁVEL DE ACORDO COM SUAS MEDIDAS E POSSUI A PARTE INTERNA AVELUDADA, GARANTINDO MAIOR CONFORTO. OS DETALHES DE METAL SÃO EM MATERIAL NIQUELADO.</t>
  </si>
  <si>
    <t>HARNESS ARREIO DE COURO COM ALGEMAS DOMINATRIX</t>
  </si>
  <si>
    <t>ALGEMAS SÃO PERFEITAS PARA UMA BRINCADEIRA DA DOMINAÇÃO E SUBMISSÃO, ELA É O ITEM IDEAL PARA DEIXAR SEU PARCEIRO SOB SEU DOMÍNIO, DEIXANDO O MOMENTO A DOIS AINDA MAIS EXCITANTE. 
CONHEÇA TODA NOSSA LINHA DE ALGEMAS E IMOBILIZADORES EM NOSSO SITE E SAIA DO SEXO BÁSICO E DESCUBRA UMA NOVA FORMA DE SENTIR E DAR PRAZER!!</t>
  </si>
  <si>
    <t>---</t>
  </si>
  <si>
    <t>Descubra o prazer intenso com o Sugador de Clitóris Magic Rose! Este acessório sofisticado e inovador é a escolha perfeita para quem busca momentos mais intensos e satisfatórios. Com tecnologia de pulsação avançada e um design ergonômico, oferece estimulação precisa e de alta qualidade, levando você a novas dimensões de prazer.
Características do Produto:
10 Modos de Pulsação: Escolha entre diferentes níveis de intensidade para atender aos seus desejos.
Design Ergonômico: Fácil de manusear, projetado para uma estimulação precisa e confortável.
Resistente à Água: Aproveite momentos sensuais até mesmo no banho.
Recarregável via USB: Conveniência e sustentabilidade em um único produto.</t>
  </si>
  <si>
    <t>- - -</t>
  </si>
  <si>
    <t>Aquele vibrador que vai complementar seu momento de prazer com intensidade e muita estimulação, o Crow, além de ser um estimulador clitoriano possui um penetrador que auxilia na estimulação do Ponto G com eficácia, transformando seu momento solo, e trazendo mais intensidade para seus orgasmos. Ele possui 10 Modos intensos de vibrações e acompanha controle remoto para mudar a vibração com mais liberdade, ou entregá-lo ao seu par para uma brincadeira divertida e irreverente, deixando o clima ainda mais picante.</t>
  </si>
  <si>
    <t>Masturbador masculino em formato de vagina feito em cyberskin. Um material extremamente macio ao toque e que faz referência à pele humana. Possui saliências internas extremamente texturizadas que deixam a masturbação muito mais realista e prazerosa. Conta com bullet vibratório para elevar o nível de prazer.
Canal penetrável mede 17 cm e tem 1 cm de diâmetro interno, trazendo a sensação de estar penetrando uma vagina ou um ânus bem apertadinho.</t>
  </si>
  <si>
    <t>A Cinta Peniana é aquele brinquedo erótico indispensável para quem deseja desbravar um mar de aventuras e encontrar ao lado de uma companhia especial um tesouro tão esperado, muitos orgasmos.</t>
  </si>
  <si>
    <t>Vibrador de ponto G feito em silicone, com 10 modos de vibração, material não tóxico de fácil higiene. Possui a ponta curva para a estimulação do ponto G.
Descubra um novo mundo de prazer com o estimulador de ponto G. Experimente sensações intensas e orgasmos incríveis com este produto inovador, projetado especialmente para levar seu prazer ao máximo. Não espere mais, entregue-se ao prazer e desfrute de uma experiência única e prazerosa!</t>
  </si>
  <si>
    <t>Vibrador personal com capa peniana feita em silicone, super macio. O personal e a capa podem ser usadas separadamente. Possui um toque suave à pele e um motor de alto desempenho! Produto à prova d'água.</t>
  </si>
  <si>
    <t>Varinha Magica é uma varinha mágica compacta que possui 20 modos de vibração e 8 intensidades em um toy feito inteirinho em silicone, 100% seguro para o corpo e extremamente macio.
Esse modelo de vibrador varinha mágica é muito amado por servir também como um massageador corporal (imagens no produto), além de um vibrador super potente.
Seu tamanho promove uma massagem externa abrangente, e a sua cabeça é maleável permite um ângulo perfeito em qualquer estimulação. Além de tudo isso, esse vibrador varinha magica youvibe tem um tamanho compacto para uma Magic Wand, fazendo que ela seja perfeita para levar em viagens ou dentro da bolsa.</t>
  </si>
  <si>
    <t>DADO STRIP TEASE 1 UNIDADE Os Dados são jogos para adultos. Os cubos contém posições sexuais, ações, locais, dentre outras opções... Para você tornar o momento a dois muito mais divertido e criativo!</t>
  </si>
  <si>
    <t>Vibrador com Língua Estimulador de clitótis, 10 modos de vibrações, o produto é macio ao toque,
composto por silicone na ponta e Corpo em Plástico, o que facilita o manuseio e a estimulação, trazendo uma sensação prazerosa do uso.
“Toque Aveludado na Ponta"
Produto resistente à água.</t>
  </si>
  <si>
    <t>A Ducha Higiênica Ginecológica e Anal serve para realizar a limpeza do ânus e da vagina, antes e depois da relação sexual. Ideal para homens e mulheres que se preocupam com o seu bem estar e do seu parceiro, tornando o momento a dois mais fácil, o que acaba te deixando mais relaxado(a), sem preocupações e o sexo mais gostoso.</t>
  </si>
  <si>
    <t>Proporciona incríveis sensações de prazer, te levando aos céus em questão de segundos, pois esse maravilhoso estimulador irá te ajudar tanto em momentos solos quanto acompanhados, bastando apenas usar a sua imaginação e ir além, já que os seus 10 incríveis modos vibração serão suficientes para te fazer alcançar orgasmo incríveis.</t>
  </si>
  <si>
    <t>O Plug Anal Rabo de Raposa 25cm é a união perfeita entre sensualidade, elegância e prazer anal delicado. Desenvolvido especialmente para quem deseja explorar fantasias com estilo e conforto, esse modelo tamanho P oferece uma experiência suave, envolvente e extremamente provocante, ideal para iniciantes ou para momentos de estimulação mais sutil e refinada.</t>
  </si>
  <si>
    <t>Anel Peniano Estimulador em silicone que retarda a ejaculação e prolonga a ereção. Seu formato colorido deixa a relação mais divertida. Prolonga o tempo de ereção, dando mais tempo de prazer para ambos. Com base texturizada, em diversos formatos e cores sem opção de escolha.</t>
  </si>
  <si>
    <t>O Vibrador de Casal Bluetooth Cisne Branco Lesparty é a escolha ideal para casais que buscam explorar novas sensações, intensificar a intimidade e inovar na vida sexual. Com design elegante e curvas ergonômicas, ele se ajusta perfeitamente ao corpo, estimulando dois pontos de prazer simultaneamente para experiências mais intensas e prazerosas.
Feito em silicone de alta qualidade, este vibrador oferece toque macio e aveludado, garantindo conforto, suavidade e segurança durante o uso. Seu formato único e ergonômico permite penetração prazerosa e estimulante, combinando perfeitamente estímulo interno e externo para máximo prazer.</t>
  </si>
  <si>
    <t>Este vibrador personal é projetado para quem deseja explorar seu próprio corpo e descobrir novas dimensões de prazer. É ideal para estimulação do clitóris, da zona erógena e outras áreas sensíveis do corpo. Sua versatilidade permite que você o utilize de acordo com seus desejos e fantasias pessoais.</t>
  </si>
  <si>
    <t>É UM BULLET COM 10 MODOS DE VIBRAÇÃO CONTROLADOS POR CONTROLE REMOTO SEM FIO, CONFECCIONADO  EM SILICONE MACIO E SUAVE AO TOQUE, POSSUI
FORMATO ERGONÔMICO, PODENDO SER
USADO DE DIVERSAS FORMAS.</t>
  </si>
  <si>
    <t>DESCUBRA NOVAS FORMAS DE PRAZER COM ESSA MINI VARINHA MÁGICA, DELICADAMENTE PROJETADA PARA ESTIMULAR INTENSAMENTE. COM UM TOCIUE MACIO E UM DESIGN ERGONÔMICO, ELA SE ENCAIXA PERFEITAMENTE  NA SUA MÃO, FACILITANDO O MANUSEIO E PROPORCIONANDO UMA EXPERIÊNCIA IRRESISTÍVEL. RESISTENTE À
ÁGUA, É A ESCOLHA IDEAL PARA MOMENTOS DE PRAZER SEM
PREOCUPAÇOES.</t>
  </si>
  <si>
    <t>CAPA PENIANA EMBORRACHA ULTRA MACIA E FLEXÍVEL, POSSUI GLANDE DEFINIDA E UMA TEXTURA REALÍSTICA DE VEIAS SALIENTES
AO LONGO DO CORPO, TRAZENDO MAIOR SENSAÇÃO DE PRAZER
DURANTE A PENETRAÇÃO.</t>
  </si>
  <si>
    <t>O VIBRADOR DE PULSAÇÃO RABICÓ PIGGY É A RESPOSTA PARA BUSCA UMA EXPERIÊNCIA DE PRAZER INTENSA E PERSONALIZADA. COM 10 MODOS DE PULSAÇÃO, ELE PERMITE EXPLORAR UMA VARIEDADE DE RITMOS E INTENSIDADES, ADAPTANDO-SE  ÀS SUAS PREFERÊNCIAS PARA ALCANÇAR O ÁPICE DO PRAZER. FABRICADO EM SILICONE DE ALTA QUALIDADE, ELE OFERECE UM TOQUE SUAVE E AVELUDADO, GARANTINDO UMA
SENSAÇÃO CONFORTÁVEL E LUXUOSA
DURANTE O USO. RECARREGÁVEL  VIA USB/TOMADA.</t>
  </si>
  <si>
    <t>CONFECCIONADO  EM SILICONE MACIO E COM UM DESIGN ERGONÔMICO, O VIBRADOR É CONFORTÂVEL E FÂCIL
DE MANUSEAR, PROPORCIONANDO UMA EXPERIÊNCIA  DE PRAZER SUAVE E ENVOLVENTE. ALÉM DISSO, O
PRODUTO É RESISTENTE À ÁGUA, PERMITINDO SEU USO EM DIFERENTES AMBIENTES E
GARANTINDO MAIOR VERSATILIDADE.</t>
  </si>
  <si>
    <t>MINI VARINHA MÁGICA COGUMELO 10 VIBROS YOUVIBE. ELEVE SUA EXPERIÊNCIA  DE PRAZER COM A
MINI VARINHA MÁGICA COGUMELO DA YOUVIBE. ESTE MINI VIBRADOR ELEGANTE E MODERNO ESTÁ PRONTO PARA SEGUIR O RITMO DO SEU DESEJO, PROPORCIONANDO UMA ESTIMULAÇÃO INTENSA E PRAZEROSA COM SEUS 10 ESTÁGIOS DE
VIBRAÇÃO!</t>
  </si>
  <si>
    <t>O VIBRADOR SOPHIE VAI PROPORCIONAR  PRAZER INTENSO E IMEDIATO, FAZENDO COM QUE ATINGIR O ORGASMO SE TORNE MUITO MAIS FÁCIL EM APENAS 3 MINUTOS, VOCÊ PODE ALCANÇAR AQUELE TÃO DESEJADO CLÍMAX INTENSO E EXTREMAMENTE EXCITANTE. COM UM DESIGN 2 EM
1, QUE COMBINA UMA ROSA QUE PULSA E UMA PARTE PENETRÁVEL, ESSE VIBRADOR GARANTE UMA EXPERIÊNCIA  COMPLETA PARA UM
PRAZER INESQUECÍVEL.</t>
  </si>
  <si>
    <t>A CAPA PENIANA EXTENDER É A ESCOLHA IDEAL PARA QUEM DESEJA INTENSIFICAR O PRAZER E EXPLORAR NOVAS SENSAÇÕES. DISPONÍVEL EM VÁRIAS CORES, INCLUINDO TRANSPARENTE, ESTA CAPA VERSÁTIL É PROJETADA PARA SE AJUSTAR PERFEITAMENTE  A DIFERENTES TAMANHOS,
PROPORCIONANDO UMA EXPERIÊNCIA
PERSONALIZADA  E CONFORTÁVEL.</t>
  </si>
  <si>
    <t>AS BOLAS DE KEGEL EM SILICONE COM ALÇA SÃO VERSÁTEIS E PODEM SER UTILIZADAS TANTO POR
MULHERES QUE DESEJAM FORTALECER SEUS MÚSCULOS PÉLVICOS E MELHORAR A SAÚDE SEXUAL, COMO TAMBÉM PARA EXPLORAR NOVAS SENSAÇÕES NA ESTIMULAÇÂO ANAL  OU VAGINAL. COM ESSE PRODUTO, VOCÊ TERÁ O PODER DE ELEVAR SUA
INTIMIDADE A UM NOVO PATAMAR.</t>
  </si>
  <si>
    <t>DESCUBRA NOVAS DIMENSÕES DE
PRAZER COM O SOFISTICADO PLUG ANAL TAMANHO G. ESTE ACESSÓRIO FOI CUIDADOSAMENTE PROJETADO PARA OFERECER NÃO APENAS CONFORTO EXCEPCIONAL, MAS TAMBÉM UMA EXPERIÊNCIA DE PRAZER INTENSA E SEGURA, TORNANDO CADA MOMENTO ÍNTIMO
VERDADEIRAMENTE ESPECIAL.</t>
  </si>
  <si>
    <t>DESCUBRA NOVAS DIMENSOES DE PRAZER COM O SOFISTICADO PLUG ANAL TAMANHO M. ESTE ACESSÓRIO FOI CUIDADOSAMENTE PROJETADO PARA OFERECER NÃO APENAS CONFORTO EXCEPCIONAL, MAS TAMBÉM UMA EXPERIÊNCIA DE PRAZER INTENSA E SEGURA, TORNANDO CADA MOMENTO ÍNTIMO
VERDADEIRAMENTE ESPECIAL.</t>
  </si>
  <si>
    <t>O CLITÓRIS TEM A ÚNICA FUNÇÃO DE DAR PRAZER PARA A MULHER! POR ISSO, USE E ABUSE DA ESTIMULAÇÃO CLITORIANA. O
VIBRADOR EM FORMATO DE BATOM É POTENTE, DISCRETO E UM SUPER PRESENTE POIS PODE SER LEVADO NA BOLSA E USADO EM QUALQUER
LUGAR.</t>
  </si>
  <si>
    <t>O GOLFINHO É UM VIBRADOR
"PRETINHO BÁSICO": TODA MULHER TÊM OU DEVE TER, ELE CAI BEM EM CtUALQUER HORA, É PEQUENO, PORTÁTIL E INTENSO.  O FOCINHO
DO GOLFINHO É UM ESTIMULADOR DE PONTO G DA VAGINA: DENTRE AS VÁRIAS FORMAS DE USO DO VIBRADOR, UMA POSSIBILIDADE  É INSERIR ELE NO CANAL VAGINAL,  COM FOCINHO PARA FRENTE, CERCA DE 2CM. A SALIÊNCIA DO OBJETO FARÁ CONTATO DIRETO COM A ÁREA MAIS SENSÍVEL DA REGIÃO,
GERANDO MUITO PRAZER! ELE  TAMBÉM PODE SER USADO PARA ESTÍMULO CLITORIANO, "VAI E VEM VAGINAL", ESTÍMULO PROSTÁTICO E MASSAGEM CORPORAL. POSSUI TOQUE AVELUDADO, ALTAMENTE DESLIZANTE
QUANDO LUBRIFICADO.</t>
  </si>
  <si>
    <t>O EGG OVO POSSUI TEXTURAS EM SEU INTERIOR COM FORMATOS E FORMAS DIFERENTES, CADA COR POSSUI SUA PRÓPRIA TEXTURA,
PROMOVENDO  DIFERENTES SENSAÇÕES DURANTE A MASTURBAÇÃO,  É O
ÁPICE DO PRAZER.</t>
  </si>
  <si>
    <t>BULLET É O MAIS FAMOSO VIBRADOR MULTIVELOCIDADES QUE FARÁ COM QUE AS SUAS NOITES SEJAM INCRÍVEIS E INTENSAS, JÁ QUE
SUA POTÊNCIA E PRATICIDADE TE FARÃO SUBIR PELAS PAREDES EM SEGUNDOS.ELE  AINDA CONTÉM UM CONTROLE PARA QUE VOCÊ POSSA AJUSTAR NA MELHOR VIBRAÇÃO NO
CONFORTO DE SUA CAMA.</t>
  </si>
  <si>
    <t>O ANEL PARA DEDO COM VIBRO, VEIO PARA FAZER UMA REVOLUÇÃO NA HORA DO SEU PRAZER! PERFEITO PARA SER UTILIZADO SOZINHA OU EM CASAL, O ANEL POSSUI UMA PODEROSA VIBRAÇÃO E SEU MATERIAL ELÁSTICO O FAZ CABER
EM CTUALQUER TIPO DE DEDO.</t>
  </si>
  <si>
    <t>O ANEL PENIANO SERVE PARA AJUDAR OS HOMENS A PROLONGAR A EREÇÃO E GANHAR UM TEMPINHO EXTRA NA CAMA, RETARDANDO A EJACULAÇÃO. PROPORCIONANDO UM
SEXO MAIS DURADOURO E PRAZEROSO PARA A(O) PARCEIRA(O). ESSE
MODELO DE ANEL POSSUI UMA MINI CÁPSULA VIBRATÓRIA EMBUTIDA, QUE ESTIMULA A REGIÃO ÍNTIMA FEMININA E MASCULINA, NA HORA DA PENETRAÇÃO. PROPORCIONA PRAZERES IMENSURÃVEIS E CONTA COM UMA PÉROLA ESTIMULADORA ANAL, FAZENDO COM QUE FIQUE
PERFEITA SUA RELAÇÃO.</t>
  </si>
  <si>
    <t>DESCUBRA NOVAS DIMENSÕES DE PRAZER COM O SOFISTICADO PLUG ANAL TAMANHO P. ESTE ACESSÓRIO FOI CUIDADOSAMENTE PROJETADO PARA OFERECER NÃO APENAS CONFORTO EXCEPCIONAL, MAS TAMBÉM UMA EXPERIÊNCIA DE PRAZER INTENSA E SEGURA, TORNANDO CADA MOMENTO ÍNTIMO
VERDADEIRAMENTE ESPECIAL.</t>
  </si>
  <si>
    <t>ANEL PARA PÊNIS OU VIBRADOR COM CÁPSULA VIBRATÓRIA FORMATO BORBOLETA.  O ANEL VIBRATÓRIO É SUCESSO EM TODO O MUNDO, É EQUIPADO COM UM MICRO MOTOR QUE VIBRA DELICADAMENTE O EIXO DO PÊNIS PROVOCANDO UMA SENSUAL E ESTIMULANTE SENSAÇÃO NO
CLÍTORIS DA PARCEIRA. UM DOS PRODUTOS MAIS REQUISITADOS  DO MERCADO ERÓTICO. AS SENSAÇ6ES CAUSADAS SÃO ÚNICAS E
VERDADEIRAMENTE MÁGICAS.</t>
  </si>
  <si>
    <t>DUPLO ESTIMULADOR, NA PARTE DE CIMA POSSUI UM BOCAL PARA UMA VIRAÇÃO MAIS FOCADA, PODE SER TANTO NOS SEIOS COMO NO CLITÓRIS. NA PARTE DE BAIXO  POSSUI UMA LINGUINHA PARA ESTIMULAÇÃO DIRETA. O BOTÂO NA PARTE INFERIOR CONTROLA TANTO A LÍNGUA COMO O BOCAL DE VIBRAÇÃO E AMBOS COM 5 INTENSIDADES. SEU MATERIAL É SILICONE, POSSUI UM TOQUE MACIO E AVELUDADO. PRAZER EM DOBRO PARA ELEVAR O NÍVEL DA SUA MASTURBAÇÃO  PARA UM OUTRO
PATAMAR.</t>
  </si>
  <si>
    <t>O FEMALE MASTURBATION  É UM PODEROSO COMPANHEIRO PARA AQUELAS QUE DESEJAM CONHECER MELHOR O PRÕPRIO CORPO! COM UM TOQUE EXTREMAMENTE  MACIO, ELE VAI TE ENCANTAR COM SUA POTÊNCIA. POSSUI UM PLUG
LATERAL EM FORMATO DE BORBOLETA QUE POSSUI 36 NÍVEIS DE
VIBRAÇÃO. SEM CONTAR QUE SEU MODO ROTATIVO TRAZ 8 INTENSIDADES COM O DELICIOSO MODO VAI E VEM. ALÉM DE TODAS ESTAS VANTAGENS, ELE TAMBÉM APRESENTA TECNOLOGIA À PROVA D'ÁGUA PARA TE ACOMPANHAR EM
DIFERENTES MOMENTOS.</t>
  </si>
  <si>
    <t>VIBRADOR PONTO G TORPEDO, É UMA CÂPSULA VIBRATÕRIA COM TOQUE MACIO E AVELUDADO, COM VIBRAÇÃO ÚNICA E POTENTE, IDEAL PARA ESTIMULAR O SEU PRAZER!!
PRÁTICO, PEQUENO E SUFICIENTE
PARA SUA ESTIMULAÇÃO.</t>
  </si>
  <si>
    <t>VIBRADOR CLÁSSICO MULTIVELOCIDADE COM TEXTURA LEVEMENTE AVELUDADA, CONFERINDO UM VISUAL SOFISTICADO E
MARCANTE. É À PROVA D'ÁGUA, O QUE AUMENTA SUAS POSSIBILIDADES DE USO E TORNA A HIGIENIZAÇÃO MAIS PRÁTICA E EFICIENTE. SUAS POTENTES VIBRAÇÕES FARÃO DOS SEUS MOMENTOS DE PRAZER ALGO
ÚNICO!</t>
  </si>
  <si>
    <t>PÊNIS SUPER ESTIMULADOR  DE TOQUE MACIO, FIRME NA PENETRAÇÃO,  COM VEIAS GROSSAS E GLANDE PENETRADORA  PARA PROVOCAR AS MAIS INCRÍVEIS SENSAÇÕES ANAIS E VAGINAIS. A PONTA CURVA É BASTANTE
EFICIENTE NO ESTÍMULO DO PONTO G FEMININO OU O PONTO P MASCULINO (PRÓSTATA), MASSAGEANDO COM INTENSIDADE E PROPORCIONANDO SENSAÇ6ES INCRIVEIS. SEU VIBRADOR INTERNO DE VELOCIDADE VARIÁVEL AUMENTA AINDA MAIS O PRAZER, LEVANDO AO
ÊXTASE.</t>
  </si>
  <si>
    <t>O VIBRADOR ROTATIVO TRIPLO PRAZER É UM PRODUTO QUE CONCENTRA  TODOS OS PRAZERES EM UM SÓ, FEITO EM SILICONE JELLY SUPER MACIO, IDEAL PARA UMA PENETRAÇÃO DELICIOSA. COM MULTIVELOCIDADES, OFERECE 12 TIPOS DE VIBRAÇÕES, DESDE AS
MAIS ESPAÇADAS ATÉ AS MAIS CONSTANTES E INTENSAS, E 4 VELOCIDADES DE ROTAÇÃO. SEUS MASSAGEADORES  INTERNOS SÃO ROTATIVOS, POSICIONADOS ESTRATEGICAMENTE PARA ESTIMULAR O PONTO G, PROPORCIONANDO AINDA MAIS PRAZER PARA A MULHER. ALÉM DISSO, POSSUI UM ESTIMULADOR  DE CLITÓRIS EM FORMATO DE COELHO COM VIBRADOR INTERNO, E UM PLUG ANAL TAMBÉM COM VIBRADOR INTERNO, COMPLETANDO OS
ORGASMOS FEMININOS.</t>
  </si>
  <si>
    <t>VIBRADOR DILDO REALISTICO EM FORMATO DE PIÊNIS COM GLANDE DEFINIDA E TEXTURA DE VEIAS SALIENTES AO LONGO DO CORPO, MATERIAL MACIO QUE SE ASSEMELHA A PELE HUMANA. POSSUI VIBRAÇÃO MULTIVELOCIDADE CONTROLADA POR BOTÃO GIRATÓRIO NA BASE. COM ESTE PIÊNIS REALISTICO O USUÁRIO
SENTE PRAZERES DIFERENCIADOS.</t>
  </si>
  <si>
    <t>VIBRADOR COM UMA ESTRUTURA REALISTA QUE SE ASSEMELHA A UM PÉNIS REAL TANTO NA FORMA COMO NA COR E NA TEXTURA, AS SUAS VEIAS SALIENTES PROPORCIONAM UMA MAIOR ESTIMULAÇÂO ENQUANTO A SUA GLANDE AUMENTA AS
EMOÇÕES.</t>
  </si>
  <si>
    <t>SEU TOQUE MACIO É IDEAL PARA DESFRUTAR DE SABOROSAS PENETRAÇÕES,  QUE SERÃO AINDA MAIS ESTIMULANTES  ATRAVÉS DE SUAS VEIAS SALIENTES E SUA GLANDE MARCADA, COMBINAÇÃO PERFEITA PARA TE DEIXAR COMPLETAMENTE  EXCITADA. SEU VIBRO MULTIVELOCIDADE TAMBÉM É PERFEITO PARA DEIXAR O MOMENTO CHEIO DE TESÃO E TORNAR SUA NOITE AINDA MAIS QUENTE. NÃO TENHA DÚVIDAS DE QUE ELE FOI FEITO PARA TE DAR PRAZER E
SACIAR SUA FOME SEXUAL!</t>
  </si>
  <si>
    <t>Vibrador de clitóris em formato de rosa - Possui 10 Modos de pulsação, o produto é macio ao toque ergonômico,
o que facilita o manuseio e a estimulação, trazendo uma sensação prazerosa do uso.
Resistente a água</t>
  </si>
  <si>
    <t xml:space="preserve">Calcinha tailandesa é uma peça sensual, usada em ocasiões especiais com o parceiro.
O fundo da calcinha possui um círculo de pérolas, que servem para deslizar e estimular o órgão masculino durante a penetração. 
É indicado passar lubrificante nas pérolas, para que deslizem com mais facilidade. </t>
  </si>
  <si>
    <t>A Cueca JOCKSTRAP é a escolha perfeita para quem busca unir conforto diário com um toque moderno e cheio de personalidade. Com design anatômico que valoriza as formas masculinas, ela garante ajuste perfeito ao corpo, proporcionando liberdade de movimento e segurança em qualquer ocasião.</t>
  </si>
  <si>
    <t>PRODUTO DESENVOLVIDO PARA AUMENTAR A LIBIDO FEMININA, PROPORCIONANDO EXCITAÇÃO TOTAL, ALÉM DE ESQUENTAR  ESFRIAR, PULSAR E VIBRAR CAUSANDO AINDA MAIS PRAZER. PODE SER USADO DE DUAS MANEIRAS: DIARIAMENTE PARA AUMENTO DA LIBIDO OU ALGUNS MINUTOS ANTES DA RELAÇÃO PARA AUMENTAR O APETITE SEXUAL. PERFEITO PARA AUMENTAR O PRAZER DAS SUAS RELAÇÕES SEXUAIS E INOVAR SUA VIDA DE FORMA INCRÍVEL!</t>
  </si>
  <si>
    <t>TWISTER É A EVOLUÇÃO DOS EXCITANTES UNISSEX, CRIADO PARA SE TORNAR UM ITEM ESPECIAL NA VIDA DO CASAL. ESTE PRODUTO NÃO APENAS ESTIMULA AMBOS OS SEXOS, MAS TAMBÉM PROPORCIONA UMA SENSAÇÃO ESQUENTA ESFRIA COM EFEITO DE PULSÃO E VIBRAÇÃO. FUNÇÃO: EXCITA, AQUECE, ESFRIA, VIBRA, PULSA E LUBRIFICA.</t>
  </si>
  <si>
    <t>TREME TREME É A EVOLUÇÃO DOS EXCITANTES UNISSEX, CRIADO PARA SE TORNAR UM ITEM ESPECIAL NA VIDA DO CASAL. ESTE PRODUTO NÃO APENAS ESTIMULA AMBOS OS SEXOS, MAS TAMBÉM PROPORCIONA UMA SENSAÇÃO ESQUENTA ESFRIA COM EFEITO DE PULSÃO E VIBRAÇÃO. FUNÇÃO: EXCITA, AQUECE, ESFRIA, VIBRA, PULSA E LUBRIFICA.</t>
  </si>
  <si>
    <t>O SEXY INTIMUS FOI CUIDADOSAMENTE DESENVOLVIDO PARA PROPORCIONAR UMA SENSAÇÃO PROLONGADA DE CONFORTO, ELEVANDO A CONFIANÇA E O BEM-ESTAR AO LONGO DO DIA. COM FRAGRÂNCIAS ENVOLVENTES, ELE DEIXA UM RASTRO DELICADO E IRRESISTÍVEL, TORNANDO-SE O ALIADO PERFEITO PARA QUEM DESEJA SE SENTIR SEGURO E PERFUMADO EM QUALQUER MOMENTO.</t>
  </si>
  <si>
    <t>COM O GEL SENSATION VOCÊ TEM TUDO O QUE PRECISA EM UM SÓ FRASCO PARA TER OS MELHORES PRAZERES QUE JÁ SENTIU. ELE POSSUI FUNÇÕES DE EXCITAR, VIBRAR, AQUECER, ESFRIAR E LUBRIFICAR</t>
  </si>
  <si>
    <t>GEL PARA MASSAGEM ESTIMULANTE CORPORAL ÍNTIMA QUE TRABALHA COM A SENSIBILIZAÇÃO DA PELE. RETARDANTE E PROLONGADOR DE EREÇÃO.</t>
  </si>
  <si>
    <t>O PERFUME PHERO É COMO UM CONVITE PARA DESPERTAR OS SENTIDOS E AUMENTAR O MAGNETISMO CRIANDO UMA ATMOSFERA SENSUAL E ROMÂNTICA! 
A FRAGRÂNCIA SUAVE DO PHERO É COMO UMA DANÇA POÉTICA NO AR, DEIXANDO UM RASTRO DE ENCANTO POR ONDE PASSA. SUA ESSÊNCIA ÚNICA É CAPAZ DE DESPERTAR EMOÇÕES E MEMÓRIAS, CONECTANDO-SE DE FORMA ESPECIAL COM CADA PESSOA QUE A SENTE. 
COMBINANDO ELEGÂNCIA E SENSUALIDADE, ESTE PERFUME É A ESCOLHA IDEAL PARA QUEM QUER UMA MARCA MEMORÁVEL!</t>
  </si>
  <si>
    <t>ÓLEO PARA MASSAGEM CORPORAL FEITO PARA QUEM GOSTA ACIMA DE TUDO DE SE CUIDAR. ELE É UM BLEND QUE OFERECE ALTA HIDRATAÇÃO, DELICIOSA FRAGRÂNCIA , E AINDA POSSUI UM GRANDE PODER DE DESPERTAR OS SENTIDOS TRAZENDO UM MISTÉRIO QUE ENVOLVE SEDUÇÃO, DELICADEZA E PROVOCAÇÃO.</t>
  </si>
  <si>
    <t>O ÓLEO BEIJAVEL É UM PRODUTO COM DELICIOSO SABOR, LUBRIFICANDO E EXCITANDO, INDICADO PARA AS PRELIMINARES, ÓTIMO PARA MASSAGEM SENSUAL, SEXO ORAL, ANAL E VAGINAL COM A AÇÃO ICE (ESFRIA) APÓS ENTRAR EM CONTATO COM A PELE BASTA DAR UM LEVE ASSOPRO QUE IRÁ POTENCIALIZAR A SUA SENSAÇÃO.</t>
  </si>
  <si>
    <t>XANA HOT É A EVOLUÇÃO DOS EXCITANTES FEMININOS, CRIADO PARA SE TORNAR UM ITEM ESPECIAL NA VIDA DA MULHER. ESTE PRODUTO NÃO APENAS ESTIMULA, MAS TAMBÉM PROPORCIONA UMA SENSAÇÃO DE CALOR COM EFEITO DE PULSÃO.
 FUNÇÃO: EXCITA, AQUECE, PULSA E LUBRIFICA.</t>
  </si>
  <si>
    <t>COM O XANA FIRE E ICE VOCÊ TEM TUDO O QUE PRECISA EM UM SÓ FRASCO PARA TER OS MELHORES PRAZERES QUE JÁ SENTIU. ELE POSSUI FUNÇÕES DE EXCITAR, VIBRAR, AQUECER, ESFRIAR E LUBRIFICAR</t>
  </si>
  <si>
    <t>VULCANO É A EVOLUÇÃO DOS EXCITANTES UNISSEX, CRIADO PARA SE TORNAR UM ITEM ESPECIAL NA VIDA DO CASAL. ESTE PRODUTO NÃO APENAS ESTIMULA AMBOS OS SEXOS, MAS TAMBÉM PROPORCIONA UMA SENSAÇÃO DE CALOR COM EFEITO DE PULSÃO.
 FUNÇÃO: EXCITA, AQUECE, É VASODILATADOR, PULSA E LUBRIFICA.</t>
  </si>
  <si>
    <t>MEGA VOLUMÃO ESTIMULA A CIRCULAÇÃO SANGUÍNEA PARA EREÇÕES MAIS FIRMES, PROLONGADAS E INTENSAS. 
MEGA VOLUMÃO POSSUI UMA FÓRMULA EXCLUSIVA E ENRIQUECIDA COM PODEROSOS INGREDIENTES QUE PROMOVEM O AUMENTO DA CIRCULAÇÃO SANGUÍNEA NA REGIÃO ÍNTIMA MASCULINA, PROPORCIONANDO UMA SENSAÇÃO DE INCHAÇO E INTENSIFICANDO A SENSIBILIDADE. IDEAL PARA MOMENTOS ÍNTIMOS MAIS INTENSOS E PRAZEROSOS.</t>
  </si>
  <si>
    <t>FORMULADOS PARA MASSAGEM SENSUAL, SÃO CAPAZES DE CRIAR UM IMPACTO ÚNICO PARA OS CASAIS QUE GOSTAM DE UMA MASSAGEM CORPORAL NAS PRELIMINARES. ALÉM DE PROPORCIONAR UM MOMENTO DE INTIMIDADE, A SUA TEXTURA ESCORREGADIA AUXILIA NA PENETRAÇÃO, PROPORCIONA UMA DELICIOSA SENSAÇÃO DE AQUECIMENTO, LUBRIFICA E PERFUMA.</t>
  </si>
  <si>
    <t>O GEL LUBRIFICANTE ÍNTIMO BEIJÁVEL  É O TOQUE PERFEITO PARA TRANSFORMAR MOMENTOS A DOIS EM EXPERIÊNCIAS AINDA MAIS PRAZEROSAS E CONFORTÁVEIS. COM SUA COMPOSIÇÃO À BASE DE ÁGUA, ELE OFERECE UMA LUBRIFICAÇÃO SEMELHANTE À NATURAL DO CORPO FEMININO, GARANTINDO UM DESLIZAMENTO SUAVE E MUITO MAIS AGRADÁVEL DURANTE O SEXO.</t>
  </si>
  <si>
    <t>O GEL LUBRIFICANTE ÍNTIMO FRESH. É O TOQUE PERFEITO PARA TRANSFORMAR MOMENTOS A DOIS EM EXPERIÊNCIAS AINDA MAIS PRAZEROSAS E CONFORTÁVEIS. COM SUA COMPOSIÇÃO À BASE DE ÁGUA, ELE OFERECE UMA LUBRIFICAÇÃO SEMELHANTE À NATURAL DO CORPO FEMININO COM UMA DELICIOSA SENSAÇÃO DE REFRESCANCIA, GARANTINDO UM DESLIZAMENTO SUAVE E MUITO MAIS AGRADÁVEL DURANTE O SEXO.</t>
  </si>
  <si>
    <t>O GEL LUBRIFICANTE ÍNTIMO NEUTRO. É O TOQUE PERFEITO PARA TRANSFORMAR MOMENTOS A DOIS EM EXPERIÊNCIAS AINDA MAIS PRAZEROSAS E CONFORTÁVEIS. COM SUA COMPOSIÇÃO À BASE DE ÁGUA, ELE OFERECE UMA LUBRIFICAÇÃO SEMELHANTE À NATURAL DO CORPO FEMININO, GARANTINDO UM DESLIZAMENTO SUAVE E MUITO MAIS AGRADÁVEL DURANTE O SEXO.</t>
  </si>
  <si>
    <t>CHEGOU A HORA DE DEIXAR SEU FIEL ESCUDEIRO NO MÁXIMO DA POTÊNCIA!
O GEL MASCULINO INFLATE CAUSA A SENSAÇÃO DE INCHAÇO NO PÊNIS. SUA COMPOSIÇÃO AUMENTA A SENSIBILIDADE PROPORCIONANDO UMA IMENSA EXCITAÇÃO.
FEITO PARA CONTRIBUIR PARA UMA MELHOR AUTOESTIMA PROPORCIONANDO MAIS VIGOR E EXCITAÇÃO, DEIXANDO A NOITE AINDA MAIS QUENTE E COM MUITO MAIS TESÃO.</t>
  </si>
  <si>
    <t>GOTINHAS DE PRAZER EXCITANTE FEMININO UMA EXPLOSÃO DE PRAZER QUE VEM PARA MUDAR A TEMPERATURA DA SUA RELAÇÃO. USE A ABUSE.</t>
  </si>
  <si>
    <t>O SPRAY GARGANTA PROFUNDA É A ESCOLHA PERFEITA PARA QUEM QUER TRANSFORMAR A EXPERIÊNCIA ORAL EM ALGO AINDA MAIS GOSTOSO E CONFORTÁVEL. COM UM TOQUE REFRESCANTE, ELE ALIVIA O DESCONFORTO NA GARGANTA, TORNANDO POSSÍVEL EXPLORAR O PRAZER SEM INCÔMODOS. ALÉM DISSO, ELE TAMBÉM AJUDA A PROLONGAR O PRAZER QUANDO APLICADO NO PÊNIS, REDUZINDO A SENSIBILIDADE E DEIXANDO A EXPERIÊNCIA AINDA MAIS INTENSA.</t>
  </si>
  <si>
    <t>O ERECT PLUS É UM GEL EXCITANTE MASCULINO QUE FUNCIONA COMO UM ESTIMULANTE SEXUAL NATURAL, DESENVOLVIDO PARA ACABAR COM A DISFUNÇÃO ERÉTIL E A EJACULAÇÃO PRECOCE. O EXCITANTE POSSUI O EFEITO DE AQUECIMENTO QUANDO APLICADO NA PELE E ATUA DIRETAMENTE JUNTO COM A ESTIMULAÇÃO DOS RECEPTORES DAS TERMINAÇÕES NERVOSAS, O QUE CONTRIBUI PARA UMA MAIOR E MAIS EFICIENTE CIRCULAÇÃO SANGUÍNEA NA REGIÃO.</t>
  </si>
  <si>
    <t>DESFRUTE DO ELETRIC BOMB EM SPRAY E SINTA SENSAÇÕES DE UM JEITO QUE VOCÊ NUNCA VIU, O SPRAY BEIJÁVEL ESTÁ MAIS ELETRIZANTE E VAI TE DEIXAR LIGADO(A) NO 220V. APLIQUE O PRODUTO E SINTA LOGO EM SEGUIDA UMA SENSAÇÃO DE LEVES CHOQUES QUE FUNCIONAM COMO ONDAS ESTIMULADORAS EM SUAS ZONAS ERÓGENAS E CLARO, ALGO QUE NÃO PODERIA FALTAR É UM SABOR ELETRICAMENTE MARCANTE, O QUE VAI ELEVAR O NÍVEL DAS PRELIMINARES E DEIXÁ-LAS AINDA MAIS INTERESSANTES.</t>
  </si>
  <si>
    <t>EASY É UM GEL DESSENSIBILIZANTE E LUBRIFICANTE, DESSENSIBILIZA E TORNA A PENETRAÇÃO ANAL MUITO MAIS FÁCIL E PRAZEROSA. PERMITE QUE VOCÊ SE JOGUE NESSA EXPERIÊNCIA SEM MEDO DE SENTIR DOR.</t>
  </si>
  <si>
    <t>O BEIJO GREGO É UM DELICIOSO GEL BEIJÁVEL COM FUNÇÃO ELETRIZANTE PARA DEIXAR SEUS BEIJOS GREGOS COM SABOROSAS SENSAÇÕES NOVAS QUE VÃO TE DEIXAR COM AS PERNAS BAMBAS. ASSIM, SUA COMPANHIA PODE SER ALTAMENTE ESTIMULADA COM ESTA BRINCADEIRA PICANTE, SEM CONTAR QUE SERÁ PERFEITO PARA EXPLORAR SENSAÇÕES VIBRANTES E DEIXAR A NOITE MAIS QUENTE.</t>
  </si>
  <si>
    <t>IDEAL PARA APIMENTAR A RELAÇÃO E TRAZER DE VOLTA A SENSAÇÃO DE PRIMEIRA VEZ, O APERTADINHA FRESH PERMITE EXPERIÊNCIAS INCRÍVEIS E NOITES MAIS INTENSAS, COM UMA DELICIOSA SENSAÇÃO REFRESCANTE.</t>
  </si>
  <si>
    <t>IDEAL PARA APIMENTAR A RELAÇÃO E TRAZER DE VOLTA A SENSAÇÃO DE PRIMEIRA VEZ, O APERTADINHA PERMITE EXPERIÊNCIAS INCRÍVEIS E NOITES MAIS INTENSAS</t>
  </si>
  <si>
    <t xml:space="preserve">ANUKET É UM GEL DESSENSIBILIZANTE, REFRESCANTE E LUBRIFICANTE, DESSENSIBILIZA E TORNA A PENETRAÇÃO ANAL MUITO MAIS FÁCIL E PRAZEROSA
</t>
  </si>
  <si>
    <t>O CRONOS É UM INCRÍVEL GEL QUE RETARDA A EJACULAÇÃO E PROPORCIONA UMA RELAÇÃO MAIS AGRADÁVEL E DURADOURA.</t>
  </si>
  <si>
    <t>ELE É UM EXCITANTE VASODILATADOR MASCULINO COM EFEITO ESQUENTA E ESFRIA, QUE POTENCIALIZA A EREÇÃO, FAZENDO COM QUE O HOMEM SE SINTA MAIS EXCITADO E CONFIANTE, AUMENTANDO ASSIM SUA VIRILIDADE PARA OS MOMENTOS MAIS QUENTES DA RELAÇÃO COM A SUA COMPANHEIRA.</t>
  </si>
  <si>
    <t>ELE É UM EXCITANTE VASODILATADOR MASCULINO COM EFEITO QUENTE, QUE POTENCIALIZA A EREÇÃO, FAZENDO COM QUE O HOMEM SE SINTA MAIS EXCITADO E CONFIANTE, AUMENTANDO ASSIM SUA VIRILIDADE PARA OS MOMENTOS MAIS QUENTES DA RELAÇÃO COM A SUA COMPANHEIRA.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</si>
</sst>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0"/>
  <sheetViews>
    <sheetView tabSelected="1" workbookViewId="0">
      <selection activeCell="N15" sqref="N15"/>
    </sheetView>
  </sheetViews>
  <sheetFormatPr defaultRowHeight="15" x14ac:dyDescent="0.25"/>
  <cols>
    <col min="1" max="1" width="24.875" customWidth="1"/>
    <col min="2" max="2" width="20.875" customWidth="1"/>
    <col min="3" max="3" width="54" bestFit="1" customWidth="1"/>
    <col min="4" max="4" width="20.875" customWidth="1"/>
    <col min="5" max="5" width="45.875" customWidth="1"/>
    <col min="6" max="6" width="28.875" customWidth="1"/>
    <col min="7" max="7" width="26.875" customWidth="1"/>
    <col min="8" max="9" width="20.875" customWidth="1"/>
    <col min="10" max="10" width="24.875" customWidth="1"/>
    <col min="11" max="11" width="22.875" customWidth="1"/>
    <col min="12" max="13" width="15.875" customWidth="1"/>
    <col min="14" max="14" width="26.875" customWidth="1"/>
    <col min="15" max="15" width="22.875" customWidth="1"/>
  </cols>
  <sheetData>
    <row r="1" spans="1:15" ht="15.75" x14ac:dyDescent="0.25">
      <c r="A1" t="s">
        <v>0</v>
      </c>
      <c r="B1" t="s">
        <v>1</v>
      </c>
      <c r="C1" t="s">
        <v>2</v>
      </c>
      <c r="D1" t="s">
        <v>3</v>
      </c>
      <c r="E1" t="s">
        <v>4</v>
      </c>
      <c r="F1" t="s">
        <v>5</v>
      </c>
      <c r="G1" t="s">
        <v>6</v>
      </c>
      <c r="H1" t="s">
        <v>7</v>
      </c>
      <c r="I1" t="s">
        <v>8</v>
      </c>
      <c r="J1" t="s">
        <v>9</v>
      </c>
      <c r="K1" t="s">
        <v>10</v>
      </c>
      <c r="L1" t="s">
        <v>11</v>
      </c>
      <c r="M1" t="s">
        <v>12</v>
      </c>
      <c r="N1" t="s">
        <v>13</v>
      </c>
      <c r="O1" t="s">
        <v>14</v>
      </c>
    </row>
    <row r="2" spans="1:15" ht="15.75" x14ac:dyDescent="0.25">
      <c r="C2" t="s">
        <v>30</v>
      </c>
      <c r="D2" t="s">
        <v>338</v>
      </c>
      <c r="F2" t="s">
        <v>15</v>
      </c>
      <c r="G2" s="1">
        <v>19</v>
      </c>
      <c r="H2">
        <f>G2*0.5</f>
        <v>9.5</v>
      </c>
      <c r="I2">
        <f>G2*0.8</f>
        <v>15.200000000000001</v>
      </c>
      <c r="J2">
        <f>G2*0.7</f>
        <v>13.299999999999999</v>
      </c>
      <c r="L2">
        <v>20</v>
      </c>
      <c r="M2">
        <v>5</v>
      </c>
      <c r="N2" t="s">
        <v>16</v>
      </c>
      <c r="O2" t="s">
        <v>17</v>
      </c>
    </row>
    <row r="3" spans="1:15" ht="15.75" x14ac:dyDescent="0.25">
      <c r="C3" t="s">
        <v>31</v>
      </c>
      <c r="D3" t="s">
        <v>339</v>
      </c>
      <c r="F3" t="s">
        <v>15</v>
      </c>
      <c r="G3" s="1">
        <v>25</v>
      </c>
      <c r="H3">
        <f t="shared" ref="H3:H66" si="0">G3*0.5</f>
        <v>12.5</v>
      </c>
      <c r="I3">
        <f t="shared" ref="I3:I66" si="1">G3*0.8</f>
        <v>20</v>
      </c>
      <c r="J3">
        <f t="shared" ref="J3:J66" si="2">G3*0.7</f>
        <v>17.5</v>
      </c>
      <c r="L3">
        <v>20</v>
      </c>
      <c r="M3">
        <v>5</v>
      </c>
      <c r="N3" t="s">
        <v>16</v>
      </c>
      <c r="O3" t="s">
        <v>17</v>
      </c>
    </row>
    <row r="4" spans="1:15" ht="15.75" x14ac:dyDescent="0.25">
      <c r="C4" t="s">
        <v>32</v>
      </c>
      <c r="D4" t="s">
        <v>339</v>
      </c>
      <c r="F4" t="s">
        <v>15</v>
      </c>
      <c r="G4" s="1">
        <v>85</v>
      </c>
      <c r="H4">
        <f t="shared" si="0"/>
        <v>42.5</v>
      </c>
      <c r="I4">
        <f t="shared" si="1"/>
        <v>68</v>
      </c>
      <c r="J4">
        <f t="shared" si="2"/>
        <v>59.499999999999993</v>
      </c>
      <c r="L4">
        <v>20</v>
      </c>
      <c r="M4">
        <v>5</v>
      </c>
      <c r="N4" t="s">
        <v>16</v>
      </c>
      <c r="O4" t="s">
        <v>17</v>
      </c>
    </row>
    <row r="5" spans="1:15" ht="15.75" x14ac:dyDescent="0.25">
      <c r="C5" t="s">
        <v>33</v>
      </c>
      <c r="D5" t="s">
        <v>340</v>
      </c>
      <c r="F5" t="s">
        <v>15</v>
      </c>
      <c r="G5" s="1">
        <v>39</v>
      </c>
      <c r="H5">
        <f t="shared" si="0"/>
        <v>19.5</v>
      </c>
      <c r="I5">
        <f t="shared" si="1"/>
        <v>31.200000000000003</v>
      </c>
      <c r="J5">
        <f t="shared" si="2"/>
        <v>27.299999999999997</v>
      </c>
      <c r="L5">
        <v>20</v>
      </c>
      <c r="M5">
        <v>5</v>
      </c>
      <c r="N5" t="s">
        <v>16</v>
      </c>
      <c r="O5" t="s">
        <v>17</v>
      </c>
    </row>
    <row r="6" spans="1:15" ht="15.75" x14ac:dyDescent="0.25">
      <c r="C6" t="s">
        <v>34</v>
      </c>
      <c r="D6" t="s">
        <v>340</v>
      </c>
      <c r="F6" t="s">
        <v>15</v>
      </c>
      <c r="G6" s="1">
        <v>39</v>
      </c>
      <c r="H6">
        <f t="shared" si="0"/>
        <v>19.5</v>
      </c>
      <c r="I6">
        <f t="shared" si="1"/>
        <v>31.200000000000003</v>
      </c>
      <c r="J6">
        <f t="shared" si="2"/>
        <v>27.299999999999997</v>
      </c>
      <c r="L6">
        <v>20</v>
      </c>
      <c r="M6">
        <v>5</v>
      </c>
      <c r="N6" t="s">
        <v>16</v>
      </c>
      <c r="O6" t="s">
        <v>17</v>
      </c>
    </row>
    <row r="7" spans="1:15" ht="15.75" x14ac:dyDescent="0.25">
      <c r="C7" t="s">
        <v>35</v>
      </c>
      <c r="F7" t="s">
        <v>15</v>
      </c>
      <c r="G7" s="1">
        <v>42</v>
      </c>
      <c r="H7">
        <f t="shared" si="0"/>
        <v>21</v>
      </c>
      <c r="I7">
        <f t="shared" si="1"/>
        <v>33.6</v>
      </c>
      <c r="J7">
        <f t="shared" si="2"/>
        <v>29.4</v>
      </c>
      <c r="L7">
        <v>20</v>
      </c>
      <c r="M7">
        <v>5</v>
      </c>
      <c r="N7" t="s">
        <v>16</v>
      </c>
      <c r="O7" t="s">
        <v>17</v>
      </c>
    </row>
    <row r="8" spans="1:15" ht="15.75" x14ac:dyDescent="0.25">
      <c r="C8" t="s">
        <v>36</v>
      </c>
      <c r="D8" t="s">
        <v>340</v>
      </c>
      <c r="F8" t="s">
        <v>15</v>
      </c>
      <c r="G8" s="1">
        <v>69</v>
      </c>
      <c r="H8">
        <f t="shared" si="0"/>
        <v>34.5</v>
      </c>
      <c r="I8">
        <f t="shared" si="1"/>
        <v>55.2</v>
      </c>
      <c r="J8">
        <f t="shared" si="2"/>
        <v>48.3</v>
      </c>
      <c r="L8">
        <v>20</v>
      </c>
      <c r="M8">
        <v>5</v>
      </c>
      <c r="N8" t="s">
        <v>16</v>
      </c>
      <c r="O8" t="s">
        <v>17</v>
      </c>
    </row>
    <row r="9" spans="1:15" ht="15.75" x14ac:dyDescent="0.25">
      <c r="C9" t="s">
        <v>37</v>
      </c>
      <c r="D9" t="s">
        <v>339</v>
      </c>
      <c r="F9" t="s">
        <v>15</v>
      </c>
      <c r="G9" s="1">
        <v>39</v>
      </c>
      <c r="H9">
        <f t="shared" si="0"/>
        <v>19.5</v>
      </c>
      <c r="I9">
        <f t="shared" si="1"/>
        <v>31.200000000000003</v>
      </c>
      <c r="J9">
        <f t="shared" si="2"/>
        <v>27.299999999999997</v>
      </c>
      <c r="L9">
        <v>20</v>
      </c>
      <c r="M9">
        <v>5</v>
      </c>
      <c r="N9" t="s">
        <v>16</v>
      </c>
      <c r="O9" t="s">
        <v>17</v>
      </c>
    </row>
    <row r="10" spans="1:15" ht="15.75" x14ac:dyDescent="0.25">
      <c r="C10" t="s">
        <v>38</v>
      </c>
      <c r="D10" t="s">
        <v>339</v>
      </c>
      <c r="F10" t="s">
        <v>15</v>
      </c>
      <c r="G10" s="1">
        <v>39</v>
      </c>
      <c r="H10">
        <f t="shared" si="0"/>
        <v>19.5</v>
      </c>
      <c r="I10">
        <f t="shared" si="1"/>
        <v>31.200000000000003</v>
      </c>
      <c r="J10">
        <f t="shared" si="2"/>
        <v>27.299999999999997</v>
      </c>
      <c r="L10">
        <v>20</v>
      </c>
      <c r="M10">
        <v>5</v>
      </c>
      <c r="N10" t="s">
        <v>16</v>
      </c>
      <c r="O10" t="s">
        <v>17</v>
      </c>
    </row>
    <row r="11" spans="1:15" ht="15.75" x14ac:dyDescent="0.25">
      <c r="C11" t="s">
        <v>39</v>
      </c>
      <c r="D11" t="s">
        <v>340</v>
      </c>
      <c r="F11" t="s">
        <v>15</v>
      </c>
      <c r="G11" s="1">
        <v>79</v>
      </c>
      <c r="H11">
        <f t="shared" si="0"/>
        <v>39.5</v>
      </c>
      <c r="I11">
        <f t="shared" si="1"/>
        <v>63.2</v>
      </c>
      <c r="J11">
        <f t="shared" si="2"/>
        <v>55.3</v>
      </c>
      <c r="L11">
        <v>20</v>
      </c>
      <c r="M11">
        <v>5</v>
      </c>
      <c r="N11" t="s">
        <v>16</v>
      </c>
      <c r="O11" t="s">
        <v>17</v>
      </c>
    </row>
    <row r="12" spans="1:15" ht="15.75" x14ac:dyDescent="0.25">
      <c r="C12" t="s">
        <v>40</v>
      </c>
      <c r="D12" t="s">
        <v>340</v>
      </c>
      <c r="F12" t="s">
        <v>15</v>
      </c>
      <c r="G12" s="1">
        <v>79</v>
      </c>
      <c r="H12">
        <f t="shared" si="0"/>
        <v>39.5</v>
      </c>
      <c r="I12">
        <f t="shared" si="1"/>
        <v>63.2</v>
      </c>
      <c r="J12">
        <f t="shared" si="2"/>
        <v>55.3</v>
      </c>
      <c r="L12">
        <v>20</v>
      </c>
      <c r="M12">
        <v>5</v>
      </c>
      <c r="N12" t="s">
        <v>16</v>
      </c>
      <c r="O12" t="s">
        <v>17</v>
      </c>
    </row>
    <row r="13" spans="1:15" ht="15.75" x14ac:dyDescent="0.25">
      <c r="C13" t="s">
        <v>41</v>
      </c>
      <c r="D13" t="s">
        <v>339</v>
      </c>
      <c r="F13" t="s">
        <v>15</v>
      </c>
      <c r="G13" s="1">
        <v>159</v>
      </c>
      <c r="H13">
        <f t="shared" si="0"/>
        <v>79.5</v>
      </c>
      <c r="I13">
        <f t="shared" si="1"/>
        <v>127.2</v>
      </c>
      <c r="J13">
        <f t="shared" si="2"/>
        <v>111.3</v>
      </c>
      <c r="L13">
        <v>20</v>
      </c>
      <c r="M13">
        <v>5</v>
      </c>
      <c r="N13" t="s">
        <v>16</v>
      </c>
      <c r="O13" t="s">
        <v>17</v>
      </c>
    </row>
    <row r="14" spans="1:15" ht="15.75" x14ac:dyDescent="0.25">
      <c r="C14" t="s">
        <v>42</v>
      </c>
      <c r="D14" t="s">
        <v>341</v>
      </c>
      <c r="E14" t="s">
        <v>343</v>
      </c>
      <c r="F14" t="s">
        <v>15</v>
      </c>
      <c r="G14" s="1">
        <v>9.9</v>
      </c>
      <c r="H14">
        <f t="shared" si="0"/>
        <v>4.95</v>
      </c>
      <c r="I14">
        <f t="shared" si="1"/>
        <v>7.9200000000000008</v>
      </c>
      <c r="J14">
        <f t="shared" si="2"/>
        <v>6.93</v>
      </c>
      <c r="L14">
        <v>20</v>
      </c>
      <c r="M14">
        <v>5</v>
      </c>
      <c r="N14" t="s">
        <v>16</v>
      </c>
      <c r="O14" t="s">
        <v>17</v>
      </c>
    </row>
    <row r="15" spans="1:15" ht="15.75" x14ac:dyDescent="0.25">
      <c r="C15" t="s">
        <v>43</v>
      </c>
      <c r="D15" t="s">
        <v>341</v>
      </c>
      <c r="E15" t="s">
        <v>344</v>
      </c>
      <c r="F15" t="s">
        <v>15</v>
      </c>
      <c r="G15" s="1">
        <v>9.9</v>
      </c>
      <c r="H15">
        <f t="shared" si="0"/>
        <v>4.95</v>
      </c>
      <c r="I15">
        <f t="shared" si="1"/>
        <v>7.9200000000000008</v>
      </c>
      <c r="J15">
        <f t="shared" si="2"/>
        <v>6.93</v>
      </c>
      <c r="L15">
        <v>20</v>
      </c>
      <c r="M15">
        <v>5</v>
      </c>
      <c r="N15" t="s">
        <v>16</v>
      </c>
      <c r="O15" t="s">
        <v>17</v>
      </c>
    </row>
    <row r="16" spans="1:15" ht="15.75" x14ac:dyDescent="0.25">
      <c r="C16" t="s">
        <v>44</v>
      </c>
      <c r="D16" t="s">
        <v>341</v>
      </c>
      <c r="E16" t="s">
        <v>345</v>
      </c>
      <c r="F16" t="s">
        <v>15</v>
      </c>
      <c r="G16" s="1">
        <v>9.9</v>
      </c>
      <c r="H16">
        <f t="shared" si="0"/>
        <v>4.95</v>
      </c>
      <c r="I16">
        <f t="shared" si="1"/>
        <v>7.9200000000000008</v>
      </c>
      <c r="J16">
        <f t="shared" si="2"/>
        <v>6.93</v>
      </c>
      <c r="L16">
        <v>20</v>
      </c>
      <c r="M16">
        <v>5</v>
      </c>
      <c r="N16" t="s">
        <v>16</v>
      </c>
      <c r="O16" t="s">
        <v>17</v>
      </c>
    </row>
    <row r="17" spans="3:15" ht="15.75" x14ac:dyDescent="0.25">
      <c r="C17" t="s">
        <v>45</v>
      </c>
      <c r="D17" t="s">
        <v>341</v>
      </c>
      <c r="E17" t="s">
        <v>346</v>
      </c>
      <c r="F17" t="s">
        <v>15</v>
      </c>
      <c r="G17" s="1">
        <v>9.9</v>
      </c>
      <c r="H17">
        <f t="shared" si="0"/>
        <v>4.95</v>
      </c>
      <c r="I17">
        <f t="shared" si="1"/>
        <v>7.9200000000000008</v>
      </c>
      <c r="J17">
        <f t="shared" si="2"/>
        <v>6.93</v>
      </c>
      <c r="L17">
        <v>20</v>
      </c>
      <c r="M17">
        <v>5</v>
      </c>
      <c r="N17" t="s">
        <v>16</v>
      </c>
      <c r="O17" t="s">
        <v>17</v>
      </c>
    </row>
    <row r="18" spans="3:15" ht="15.75" x14ac:dyDescent="0.25">
      <c r="C18" t="s">
        <v>46</v>
      </c>
      <c r="D18" t="s">
        <v>341</v>
      </c>
      <c r="E18" t="s">
        <v>347</v>
      </c>
      <c r="F18" t="s">
        <v>15</v>
      </c>
      <c r="G18" s="1">
        <v>12</v>
      </c>
      <c r="H18">
        <f t="shared" si="0"/>
        <v>6</v>
      </c>
      <c r="I18">
        <f t="shared" si="1"/>
        <v>9.6000000000000014</v>
      </c>
      <c r="J18">
        <f t="shared" si="2"/>
        <v>8.3999999999999986</v>
      </c>
      <c r="L18">
        <v>20</v>
      </c>
      <c r="M18">
        <v>5</v>
      </c>
      <c r="N18" t="s">
        <v>16</v>
      </c>
      <c r="O18" t="s">
        <v>17</v>
      </c>
    </row>
    <row r="19" spans="3:15" ht="15.75" x14ac:dyDescent="0.25">
      <c r="C19" t="s">
        <v>47</v>
      </c>
      <c r="D19" t="s">
        <v>341</v>
      </c>
      <c r="E19" t="s">
        <v>348</v>
      </c>
      <c r="F19" t="s">
        <v>15</v>
      </c>
      <c r="G19" s="1">
        <v>12</v>
      </c>
      <c r="H19">
        <f t="shared" si="0"/>
        <v>6</v>
      </c>
      <c r="I19">
        <f t="shared" si="1"/>
        <v>9.6000000000000014</v>
      </c>
      <c r="J19">
        <f t="shared" si="2"/>
        <v>8.3999999999999986</v>
      </c>
      <c r="L19">
        <v>20</v>
      </c>
      <c r="M19">
        <v>5</v>
      </c>
      <c r="N19" t="s">
        <v>16</v>
      </c>
      <c r="O19" t="s">
        <v>17</v>
      </c>
    </row>
    <row r="20" spans="3:15" ht="15.75" x14ac:dyDescent="0.25">
      <c r="C20" t="s">
        <v>48</v>
      </c>
      <c r="D20" t="s">
        <v>341</v>
      </c>
      <c r="E20" t="s">
        <v>349</v>
      </c>
      <c r="F20" t="s">
        <v>15</v>
      </c>
      <c r="G20" s="1">
        <v>12</v>
      </c>
      <c r="H20">
        <f t="shared" si="0"/>
        <v>6</v>
      </c>
      <c r="I20">
        <f t="shared" si="1"/>
        <v>9.6000000000000014</v>
      </c>
      <c r="J20">
        <f t="shared" si="2"/>
        <v>8.3999999999999986</v>
      </c>
      <c r="L20">
        <v>20</v>
      </c>
      <c r="M20">
        <v>5</v>
      </c>
      <c r="N20" t="s">
        <v>16</v>
      </c>
      <c r="O20" t="s">
        <v>17</v>
      </c>
    </row>
    <row r="21" spans="3:15" ht="15.75" x14ac:dyDescent="0.25">
      <c r="C21" t="s">
        <v>49</v>
      </c>
      <c r="D21" t="s">
        <v>341</v>
      </c>
      <c r="E21" t="s">
        <v>350</v>
      </c>
      <c r="F21" t="s">
        <v>15</v>
      </c>
      <c r="G21" s="1">
        <v>9.9</v>
      </c>
      <c r="H21">
        <f t="shared" si="0"/>
        <v>4.95</v>
      </c>
      <c r="I21">
        <f t="shared" si="1"/>
        <v>7.9200000000000008</v>
      </c>
      <c r="J21">
        <f t="shared" si="2"/>
        <v>6.93</v>
      </c>
      <c r="L21">
        <v>20</v>
      </c>
      <c r="M21">
        <v>5</v>
      </c>
      <c r="N21" t="s">
        <v>16</v>
      </c>
      <c r="O21" t="s">
        <v>17</v>
      </c>
    </row>
    <row r="22" spans="3:15" ht="15.75" x14ac:dyDescent="0.25">
      <c r="C22" t="s">
        <v>50</v>
      </c>
      <c r="D22" t="s">
        <v>340</v>
      </c>
      <c r="F22" t="s">
        <v>15</v>
      </c>
      <c r="G22" s="1">
        <v>59</v>
      </c>
      <c r="H22">
        <f t="shared" si="0"/>
        <v>29.5</v>
      </c>
      <c r="I22">
        <f t="shared" si="1"/>
        <v>47.2</v>
      </c>
      <c r="J22">
        <f t="shared" si="2"/>
        <v>41.3</v>
      </c>
      <c r="L22">
        <v>20</v>
      </c>
      <c r="M22">
        <v>5</v>
      </c>
      <c r="N22" t="s">
        <v>16</v>
      </c>
      <c r="O22" t="s">
        <v>17</v>
      </c>
    </row>
    <row r="23" spans="3:15" ht="15.75" x14ac:dyDescent="0.25">
      <c r="C23" t="s">
        <v>51</v>
      </c>
      <c r="D23" t="s">
        <v>341</v>
      </c>
      <c r="F23" t="s">
        <v>15</v>
      </c>
      <c r="G23" s="1">
        <v>17</v>
      </c>
      <c r="H23">
        <f t="shared" si="0"/>
        <v>8.5</v>
      </c>
      <c r="I23">
        <f t="shared" si="1"/>
        <v>13.600000000000001</v>
      </c>
      <c r="J23">
        <f t="shared" si="2"/>
        <v>11.899999999999999</v>
      </c>
      <c r="L23">
        <v>20</v>
      </c>
      <c r="M23">
        <v>5</v>
      </c>
      <c r="N23" t="s">
        <v>16</v>
      </c>
      <c r="O23" t="s">
        <v>17</v>
      </c>
    </row>
    <row r="24" spans="3:15" ht="15.75" x14ac:dyDescent="0.25">
      <c r="C24" t="s">
        <v>52</v>
      </c>
      <c r="D24" t="s">
        <v>341</v>
      </c>
      <c r="F24" t="s">
        <v>15</v>
      </c>
      <c r="G24" s="1">
        <v>18</v>
      </c>
      <c r="H24">
        <f t="shared" si="0"/>
        <v>9</v>
      </c>
      <c r="I24">
        <f t="shared" si="1"/>
        <v>14.4</v>
      </c>
      <c r="J24">
        <f t="shared" si="2"/>
        <v>12.6</v>
      </c>
      <c r="L24">
        <v>20</v>
      </c>
      <c r="M24">
        <v>5</v>
      </c>
      <c r="N24" t="s">
        <v>16</v>
      </c>
      <c r="O24" t="s">
        <v>17</v>
      </c>
    </row>
    <row r="25" spans="3:15" ht="15.75" x14ac:dyDescent="0.25">
      <c r="C25" t="s">
        <v>53</v>
      </c>
      <c r="D25" t="s">
        <v>338</v>
      </c>
      <c r="F25" t="s">
        <v>15</v>
      </c>
      <c r="G25" s="1">
        <v>19</v>
      </c>
      <c r="H25">
        <f t="shared" si="0"/>
        <v>9.5</v>
      </c>
      <c r="I25">
        <f t="shared" si="1"/>
        <v>15.200000000000001</v>
      </c>
      <c r="J25">
        <f t="shared" si="2"/>
        <v>13.299999999999999</v>
      </c>
      <c r="L25">
        <v>20</v>
      </c>
      <c r="M25">
        <v>5</v>
      </c>
      <c r="N25" t="s">
        <v>16</v>
      </c>
      <c r="O25" t="s">
        <v>17</v>
      </c>
    </row>
    <row r="26" spans="3:15" ht="15.75" x14ac:dyDescent="0.25">
      <c r="C26" t="s">
        <v>54</v>
      </c>
      <c r="D26" t="s">
        <v>338</v>
      </c>
      <c r="F26" t="s">
        <v>15</v>
      </c>
      <c r="G26" s="1">
        <v>19</v>
      </c>
      <c r="H26">
        <f t="shared" si="0"/>
        <v>9.5</v>
      </c>
      <c r="I26">
        <f t="shared" si="1"/>
        <v>15.200000000000001</v>
      </c>
      <c r="J26">
        <f t="shared" si="2"/>
        <v>13.299999999999999</v>
      </c>
      <c r="L26">
        <v>20</v>
      </c>
      <c r="M26">
        <v>5</v>
      </c>
      <c r="N26" t="s">
        <v>16</v>
      </c>
      <c r="O26" t="s">
        <v>17</v>
      </c>
    </row>
    <row r="27" spans="3:15" ht="15.75" x14ac:dyDescent="0.25">
      <c r="C27" t="s">
        <v>55</v>
      </c>
      <c r="D27" t="s">
        <v>341</v>
      </c>
      <c r="E27" t="s">
        <v>351</v>
      </c>
      <c r="F27" t="s">
        <v>15</v>
      </c>
      <c r="G27" s="1">
        <v>6.9</v>
      </c>
      <c r="H27">
        <f t="shared" si="0"/>
        <v>3.45</v>
      </c>
      <c r="I27">
        <f t="shared" si="1"/>
        <v>5.5200000000000005</v>
      </c>
      <c r="J27">
        <f t="shared" si="2"/>
        <v>4.83</v>
      </c>
      <c r="L27">
        <v>20</v>
      </c>
      <c r="M27">
        <v>5</v>
      </c>
      <c r="N27" t="s">
        <v>16</v>
      </c>
      <c r="O27" t="s">
        <v>17</v>
      </c>
    </row>
    <row r="28" spans="3:15" ht="15.75" x14ac:dyDescent="0.25">
      <c r="C28" t="s">
        <v>56</v>
      </c>
      <c r="D28" t="s">
        <v>341</v>
      </c>
      <c r="F28" t="s">
        <v>15</v>
      </c>
      <c r="G28" s="1">
        <v>7.9</v>
      </c>
      <c r="H28">
        <f t="shared" si="0"/>
        <v>3.95</v>
      </c>
      <c r="I28">
        <f t="shared" si="1"/>
        <v>6.32</v>
      </c>
      <c r="J28">
        <f t="shared" si="2"/>
        <v>5.53</v>
      </c>
      <c r="L28">
        <v>20</v>
      </c>
      <c r="M28">
        <v>5</v>
      </c>
      <c r="N28" t="s">
        <v>16</v>
      </c>
      <c r="O28" t="s">
        <v>17</v>
      </c>
    </row>
    <row r="29" spans="3:15" ht="15.75" x14ac:dyDescent="0.25">
      <c r="C29" t="s">
        <v>57</v>
      </c>
      <c r="F29" t="s">
        <v>15</v>
      </c>
      <c r="G29" s="1">
        <v>3</v>
      </c>
      <c r="H29">
        <f t="shared" si="0"/>
        <v>1.5</v>
      </c>
      <c r="I29">
        <f t="shared" si="1"/>
        <v>2.4000000000000004</v>
      </c>
      <c r="J29">
        <f t="shared" si="2"/>
        <v>2.0999999999999996</v>
      </c>
      <c r="L29">
        <v>20</v>
      </c>
      <c r="M29">
        <v>5</v>
      </c>
      <c r="N29" t="s">
        <v>16</v>
      </c>
      <c r="O29" t="s">
        <v>17</v>
      </c>
    </row>
    <row r="30" spans="3:15" ht="15.75" x14ac:dyDescent="0.25">
      <c r="C30" t="s">
        <v>58</v>
      </c>
      <c r="D30" t="s">
        <v>339</v>
      </c>
      <c r="E30" t="s">
        <v>18</v>
      </c>
      <c r="F30" t="s">
        <v>15</v>
      </c>
      <c r="G30" s="1">
        <v>69</v>
      </c>
      <c r="H30">
        <f t="shared" si="0"/>
        <v>34.5</v>
      </c>
      <c r="I30">
        <f t="shared" si="1"/>
        <v>55.2</v>
      </c>
      <c r="J30">
        <f t="shared" si="2"/>
        <v>48.3</v>
      </c>
      <c r="L30">
        <v>20</v>
      </c>
      <c r="M30">
        <v>5</v>
      </c>
      <c r="N30" t="s">
        <v>16</v>
      </c>
      <c r="O30" t="s">
        <v>17</v>
      </c>
    </row>
    <row r="31" spans="3:15" ht="15.75" x14ac:dyDescent="0.25">
      <c r="C31" t="s">
        <v>59</v>
      </c>
      <c r="D31" t="s">
        <v>338</v>
      </c>
      <c r="F31" t="s">
        <v>15</v>
      </c>
      <c r="G31" s="1">
        <v>18</v>
      </c>
      <c r="H31">
        <f t="shared" si="0"/>
        <v>9</v>
      </c>
      <c r="I31">
        <f t="shared" si="1"/>
        <v>14.4</v>
      </c>
      <c r="J31">
        <f t="shared" si="2"/>
        <v>12.6</v>
      </c>
      <c r="L31">
        <v>20</v>
      </c>
      <c r="M31">
        <v>5</v>
      </c>
      <c r="N31" t="s">
        <v>16</v>
      </c>
      <c r="O31" t="s">
        <v>17</v>
      </c>
    </row>
    <row r="32" spans="3:15" ht="15.75" x14ac:dyDescent="0.25">
      <c r="C32" t="s">
        <v>60</v>
      </c>
      <c r="D32" t="s">
        <v>339</v>
      </c>
      <c r="F32" t="s">
        <v>15</v>
      </c>
      <c r="G32" s="1">
        <v>79</v>
      </c>
      <c r="H32">
        <f t="shared" si="0"/>
        <v>39.5</v>
      </c>
      <c r="I32">
        <f t="shared" si="1"/>
        <v>63.2</v>
      </c>
      <c r="J32">
        <f t="shared" si="2"/>
        <v>55.3</v>
      </c>
      <c r="L32">
        <v>20</v>
      </c>
      <c r="M32">
        <v>5</v>
      </c>
      <c r="N32" t="s">
        <v>16</v>
      </c>
      <c r="O32" t="s">
        <v>17</v>
      </c>
    </row>
    <row r="33" spans="3:15" ht="15.75" x14ac:dyDescent="0.25">
      <c r="C33" t="s">
        <v>61</v>
      </c>
      <c r="D33" t="s">
        <v>340</v>
      </c>
      <c r="F33" t="s">
        <v>15</v>
      </c>
      <c r="G33" s="1">
        <v>62</v>
      </c>
      <c r="H33">
        <f t="shared" si="0"/>
        <v>31</v>
      </c>
      <c r="I33">
        <f t="shared" si="1"/>
        <v>49.6</v>
      </c>
      <c r="J33">
        <f t="shared" si="2"/>
        <v>43.4</v>
      </c>
      <c r="L33">
        <v>20</v>
      </c>
      <c r="M33">
        <v>5</v>
      </c>
      <c r="N33" t="s">
        <v>16</v>
      </c>
      <c r="O33" t="s">
        <v>17</v>
      </c>
    </row>
    <row r="34" spans="3:15" ht="15.75" x14ac:dyDescent="0.25">
      <c r="C34" t="s">
        <v>62</v>
      </c>
      <c r="D34" t="s">
        <v>338</v>
      </c>
      <c r="F34" t="s">
        <v>15</v>
      </c>
      <c r="G34" s="1">
        <v>18</v>
      </c>
      <c r="H34">
        <f t="shared" si="0"/>
        <v>9</v>
      </c>
      <c r="I34">
        <f t="shared" si="1"/>
        <v>14.4</v>
      </c>
      <c r="J34">
        <f t="shared" si="2"/>
        <v>12.6</v>
      </c>
      <c r="L34">
        <v>20</v>
      </c>
      <c r="M34">
        <v>5</v>
      </c>
      <c r="N34" t="s">
        <v>16</v>
      </c>
      <c r="O34" t="s">
        <v>17</v>
      </c>
    </row>
    <row r="35" spans="3:15" ht="15.75" x14ac:dyDescent="0.25">
      <c r="C35" t="s">
        <v>63</v>
      </c>
      <c r="D35" t="s">
        <v>341</v>
      </c>
      <c r="F35" t="s">
        <v>15</v>
      </c>
      <c r="G35" s="1">
        <v>29</v>
      </c>
      <c r="H35">
        <f t="shared" si="0"/>
        <v>14.5</v>
      </c>
      <c r="I35">
        <f t="shared" si="1"/>
        <v>23.200000000000003</v>
      </c>
      <c r="J35">
        <f t="shared" si="2"/>
        <v>20.299999999999997</v>
      </c>
      <c r="L35">
        <v>20</v>
      </c>
      <c r="M35">
        <v>5</v>
      </c>
      <c r="N35" t="s">
        <v>16</v>
      </c>
      <c r="O35" t="s">
        <v>17</v>
      </c>
    </row>
    <row r="36" spans="3:15" ht="15.75" x14ac:dyDescent="0.25">
      <c r="C36" t="s">
        <v>64</v>
      </c>
      <c r="D36" t="s">
        <v>338</v>
      </c>
      <c r="E36" t="s">
        <v>352</v>
      </c>
      <c r="F36" t="s">
        <v>15</v>
      </c>
      <c r="G36" s="1">
        <v>39</v>
      </c>
      <c r="H36">
        <f t="shared" si="0"/>
        <v>19.5</v>
      </c>
      <c r="I36">
        <f t="shared" si="1"/>
        <v>31.200000000000003</v>
      </c>
      <c r="J36">
        <f t="shared" si="2"/>
        <v>27.299999999999997</v>
      </c>
      <c r="L36">
        <v>20</v>
      </c>
      <c r="M36">
        <v>5</v>
      </c>
      <c r="N36" t="s">
        <v>16</v>
      </c>
      <c r="O36" t="s">
        <v>17</v>
      </c>
    </row>
    <row r="37" spans="3:15" ht="15.75" x14ac:dyDescent="0.25">
      <c r="C37" t="s">
        <v>65</v>
      </c>
      <c r="D37" t="s">
        <v>341</v>
      </c>
      <c r="F37" t="s">
        <v>15</v>
      </c>
      <c r="G37" s="1">
        <v>39</v>
      </c>
      <c r="H37">
        <f t="shared" si="0"/>
        <v>19.5</v>
      </c>
      <c r="I37">
        <f t="shared" si="1"/>
        <v>31.200000000000003</v>
      </c>
      <c r="J37">
        <f t="shared" si="2"/>
        <v>27.299999999999997</v>
      </c>
      <c r="L37">
        <v>20</v>
      </c>
      <c r="M37">
        <v>5</v>
      </c>
      <c r="N37" t="s">
        <v>16</v>
      </c>
      <c r="O37" t="s">
        <v>17</v>
      </c>
    </row>
    <row r="38" spans="3:15" ht="15.75" x14ac:dyDescent="0.25">
      <c r="C38" t="s">
        <v>66</v>
      </c>
      <c r="D38" t="s">
        <v>341</v>
      </c>
      <c r="F38" t="s">
        <v>15</v>
      </c>
      <c r="G38" s="1">
        <v>39</v>
      </c>
      <c r="H38">
        <f t="shared" si="0"/>
        <v>19.5</v>
      </c>
      <c r="I38">
        <f t="shared" si="1"/>
        <v>31.200000000000003</v>
      </c>
      <c r="J38">
        <f t="shared" si="2"/>
        <v>27.299999999999997</v>
      </c>
      <c r="L38">
        <v>20</v>
      </c>
      <c r="M38">
        <v>5</v>
      </c>
      <c r="N38" t="s">
        <v>16</v>
      </c>
      <c r="O38" t="s">
        <v>17</v>
      </c>
    </row>
    <row r="39" spans="3:15" ht="15.75" x14ac:dyDescent="0.25">
      <c r="C39" t="s">
        <v>67</v>
      </c>
      <c r="D39" t="s">
        <v>341</v>
      </c>
      <c r="E39" t="s">
        <v>353</v>
      </c>
      <c r="F39" t="s">
        <v>15</v>
      </c>
      <c r="G39" s="1">
        <v>45</v>
      </c>
      <c r="H39">
        <f t="shared" si="0"/>
        <v>22.5</v>
      </c>
      <c r="I39">
        <f t="shared" si="1"/>
        <v>36</v>
      </c>
      <c r="J39">
        <f t="shared" si="2"/>
        <v>31.499999999999996</v>
      </c>
      <c r="L39">
        <v>20</v>
      </c>
      <c r="M39">
        <v>5</v>
      </c>
      <c r="N39" t="s">
        <v>16</v>
      </c>
      <c r="O39" t="s">
        <v>17</v>
      </c>
    </row>
    <row r="40" spans="3:15" ht="15.75" x14ac:dyDescent="0.25">
      <c r="C40" t="s">
        <v>68</v>
      </c>
      <c r="D40" t="s">
        <v>341</v>
      </c>
      <c r="E40" t="s">
        <v>354</v>
      </c>
      <c r="F40" t="s">
        <v>15</v>
      </c>
      <c r="G40" s="1">
        <v>45</v>
      </c>
      <c r="H40">
        <f t="shared" si="0"/>
        <v>22.5</v>
      </c>
      <c r="I40">
        <f t="shared" si="1"/>
        <v>36</v>
      </c>
      <c r="J40">
        <f t="shared" si="2"/>
        <v>31.499999999999996</v>
      </c>
      <c r="L40">
        <v>20</v>
      </c>
      <c r="M40">
        <v>5</v>
      </c>
      <c r="N40" t="s">
        <v>16</v>
      </c>
      <c r="O40" t="s">
        <v>17</v>
      </c>
    </row>
    <row r="41" spans="3:15" ht="15.75" x14ac:dyDescent="0.25">
      <c r="C41" t="s">
        <v>69</v>
      </c>
      <c r="D41" t="s">
        <v>340</v>
      </c>
      <c r="F41" t="s">
        <v>15</v>
      </c>
      <c r="G41" s="1">
        <v>29</v>
      </c>
      <c r="H41">
        <f t="shared" si="0"/>
        <v>14.5</v>
      </c>
      <c r="I41">
        <f t="shared" si="1"/>
        <v>23.200000000000003</v>
      </c>
      <c r="J41">
        <f t="shared" si="2"/>
        <v>20.299999999999997</v>
      </c>
      <c r="L41">
        <v>20</v>
      </c>
      <c r="M41">
        <v>5</v>
      </c>
      <c r="N41" t="s">
        <v>16</v>
      </c>
      <c r="O41" t="s">
        <v>17</v>
      </c>
    </row>
    <row r="42" spans="3:15" ht="15.75" x14ac:dyDescent="0.25">
      <c r="C42" t="s">
        <v>70</v>
      </c>
      <c r="D42" t="s">
        <v>338</v>
      </c>
      <c r="F42" t="s">
        <v>15</v>
      </c>
      <c r="G42" s="1">
        <v>29</v>
      </c>
      <c r="H42">
        <f t="shared" si="0"/>
        <v>14.5</v>
      </c>
      <c r="I42">
        <f t="shared" si="1"/>
        <v>23.200000000000003</v>
      </c>
      <c r="J42">
        <f t="shared" si="2"/>
        <v>20.299999999999997</v>
      </c>
      <c r="L42">
        <v>20</v>
      </c>
      <c r="M42">
        <v>5</v>
      </c>
      <c r="N42" t="s">
        <v>16</v>
      </c>
      <c r="O42" t="s">
        <v>17</v>
      </c>
    </row>
    <row r="43" spans="3:15" ht="15.75" x14ac:dyDescent="0.25">
      <c r="C43" t="s">
        <v>71</v>
      </c>
      <c r="D43" t="s">
        <v>338</v>
      </c>
      <c r="F43" t="s">
        <v>15</v>
      </c>
      <c r="G43" s="1">
        <v>29</v>
      </c>
      <c r="H43">
        <f t="shared" si="0"/>
        <v>14.5</v>
      </c>
      <c r="I43">
        <f t="shared" si="1"/>
        <v>23.200000000000003</v>
      </c>
      <c r="J43">
        <f t="shared" si="2"/>
        <v>20.299999999999997</v>
      </c>
      <c r="L43">
        <v>20</v>
      </c>
      <c r="M43">
        <v>5</v>
      </c>
      <c r="N43" t="s">
        <v>16</v>
      </c>
      <c r="O43" t="s">
        <v>17</v>
      </c>
    </row>
    <row r="44" spans="3:15" ht="15.75" x14ac:dyDescent="0.25">
      <c r="C44" t="s">
        <v>72</v>
      </c>
      <c r="D44" t="s">
        <v>339</v>
      </c>
      <c r="E44" t="s">
        <v>355</v>
      </c>
      <c r="F44" t="s">
        <v>15</v>
      </c>
      <c r="G44" s="1">
        <v>39</v>
      </c>
      <c r="H44">
        <f t="shared" si="0"/>
        <v>19.5</v>
      </c>
      <c r="I44">
        <f t="shared" si="1"/>
        <v>31.200000000000003</v>
      </c>
      <c r="J44">
        <f t="shared" si="2"/>
        <v>27.299999999999997</v>
      </c>
      <c r="L44">
        <v>20</v>
      </c>
      <c r="M44">
        <v>5</v>
      </c>
      <c r="N44" t="s">
        <v>16</v>
      </c>
      <c r="O44" t="s">
        <v>17</v>
      </c>
    </row>
    <row r="45" spans="3:15" ht="15.75" x14ac:dyDescent="0.25">
      <c r="C45" t="s">
        <v>73</v>
      </c>
      <c r="D45" t="s">
        <v>339</v>
      </c>
      <c r="E45" t="s">
        <v>356</v>
      </c>
      <c r="F45" t="s">
        <v>15</v>
      </c>
      <c r="G45" s="1">
        <v>39</v>
      </c>
      <c r="H45">
        <f t="shared" si="0"/>
        <v>19.5</v>
      </c>
      <c r="I45">
        <f t="shared" si="1"/>
        <v>31.200000000000003</v>
      </c>
      <c r="J45">
        <f t="shared" si="2"/>
        <v>27.299999999999997</v>
      </c>
      <c r="L45">
        <v>20</v>
      </c>
      <c r="M45">
        <v>5</v>
      </c>
      <c r="N45" t="s">
        <v>16</v>
      </c>
      <c r="O45" t="s">
        <v>17</v>
      </c>
    </row>
    <row r="46" spans="3:15" ht="15.75" x14ac:dyDescent="0.25">
      <c r="C46" t="s">
        <v>74</v>
      </c>
      <c r="D46" t="s">
        <v>341</v>
      </c>
      <c r="F46" t="s">
        <v>15</v>
      </c>
      <c r="G46" s="1">
        <v>9.9</v>
      </c>
      <c r="H46">
        <f t="shared" si="0"/>
        <v>4.95</v>
      </c>
      <c r="I46">
        <f t="shared" si="1"/>
        <v>7.9200000000000008</v>
      </c>
      <c r="J46">
        <f t="shared" si="2"/>
        <v>6.93</v>
      </c>
      <c r="L46">
        <v>20</v>
      </c>
      <c r="M46">
        <v>5</v>
      </c>
      <c r="N46" t="s">
        <v>16</v>
      </c>
      <c r="O46" t="s">
        <v>17</v>
      </c>
    </row>
    <row r="47" spans="3:15" ht="15.75" x14ac:dyDescent="0.25">
      <c r="C47" t="s">
        <v>75</v>
      </c>
      <c r="D47" t="s">
        <v>339</v>
      </c>
      <c r="E47" t="s">
        <v>357</v>
      </c>
      <c r="F47" t="s">
        <v>15</v>
      </c>
      <c r="G47" s="1">
        <v>85</v>
      </c>
      <c r="H47">
        <f t="shared" si="0"/>
        <v>42.5</v>
      </c>
      <c r="I47">
        <f t="shared" si="1"/>
        <v>68</v>
      </c>
      <c r="J47">
        <f t="shared" si="2"/>
        <v>59.499999999999993</v>
      </c>
      <c r="L47">
        <v>20</v>
      </c>
      <c r="M47">
        <v>5</v>
      </c>
      <c r="N47" t="s">
        <v>16</v>
      </c>
      <c r="O47" t="s">
        <v>17</v>
      </c>
    </row>
    <row r="48" spans="3:15" ht="15.75" x14ac:dyDescent="0.25">
      <c r="C48" t="s">
        <v>76</v>
      </c>
      <c r="D48" t="s">
        <v>339</v>
      </c>
      <c r="F48" t="s">
        <v>15</v>
      </c>
      <c r="G48" s="1">
        <v>6.9</v>
      </c>
      <c r="H48">
        <f t="shared" si="0"/>
        <v>3.45</v>
      </c>
      <c r="I48">
        <f t="shared" si="1"/>
        <v>5.5200000000000005</v>
      </c>
      <c r="J48">
        <f t="shared" si="2"/>
        <v>4.83</v>
      </c>
      <c r="L48">
        <v>20</v>
      </c>
      <c r="M48">
        <v>5</v>
      </c>
      <c r="N48" t="s">
        <v>16</v>
      </c>
      <c r="O48" t="s">
        <v>17</v>
      </c>
    </row>
    <row r="49" spans="3:15" ht="15.75" x14ac:dyDescent="0.25">
      <c r="C49" t="s">
        <v>77</v>
      </c>
      <c r="D49" t="s">
        <v>339</v>
      </c>
      <c r="F49" t="s">
        <v>15</v>
      </c>
      <c r="G49" s="1">
        <v>6.9</v>
      </c>
      <c r="H49">
        <f t="shared" si="0"/>
        <v>3.45</v>
      </c>
      <c r="I49">
        <f t="shared" si="1"/>
        <v>5.5200000000000005</v>
      </c>
      <c r="J49">
        <f t="shared" si="2"/>
        <v>4.83</v>
      </c>
      <c r="L49">
        <v>20</v>
      </c>
      <c r="M49">
        <v>5</v>
      </c>
      <c r="N49" t="s">
        <v>16</v>
      </c>
      <c r="O49" t="s">
        <v>17</v>
      </c>
    </row>
    <row r="50" spans="3:15" ht="15.75" x14ac:dyDescent="0.25">
      <c r="C50" t="s">
        <v>78</v>
      </c>
      <c r="D50" t="s">
        <v>339</v>
      </c>
      <c r="F50" t="s">
        <v>15</v>
      </c>
      <c r="G50" s="1">
        <v>6.9</v>
      </c>
      <c r="H50">
        <f t="shared" si="0"/>
        <v>3.45</v>
      </c>
      <c r="I50">
        <f t="shared" si="1"/>
        <v>5.5200000000000005</v>
      </c>
      <c r="J50">
        <f t="shared" si="2"/>
        <v>4.83</v>
      </c>
      <c r="L50">
        <v>20</v>
      </c>
      <c r="M50">
        <v>5</v>
      </c>
      <c r="N50" t="s">
        <v>16</v>
      </c>
      <c r="O50" t="s">
        <v>17</v>
      </c>
    </row>
    <row r="51" spans="3:15" ht="15.75" x14ac:dyDescent="0.25">
      <c r="C51" t="s">
        <v>79</v>
      </c>
      <c r="D51" t="s">
        <v>339</v>
      </c>
      <c r="F51" t="s">
        <v>15</v>
      </c>
      <c r="G51" s="1">
        <v>6.9</v>
      </c>
      <c r="H51">
        <f t="shared" si="0"/>
        <v>3.45</v>
      </c>
      <c r="I51">
        <f t="shared" si="1"/>
        <v>5.5200000000000005</v>
      </c>
      <c r="J51">
        <f t="shared" si="2"/>
        <v>4.83</v>
      </c>
      <c r="L51">
        <v>20</v>
      </c>
      <c r="M51">
        <v>5</v>
      </c>
      <c r="N51" t="s">
        <v>16</v>
      </c>
      <c r="O51" t="s">
        <v>17</v>
      </c>
    </row>
    <row r="52" spans="3:15" ht="15.75" x14ac:dyDescent="0.25">
      <c r="C52" t="s">
        <v>80</v>
      </c>
      <c r="D52" t="s">
        <v>339</v>
      </c>
      <c r="F52" t="s">
        <v>15</v>
      </c>
      <c r="G52" s="1">
        <v>6.9</v>
      </c>
      <c r="H52">
        <f t="shared" si="0"/>
        <v>3.45</v>
      </c>
      <c r="I52">
        <f t="shared" si="1"/>
        <v>5.5200000000000005</v>
      </c>
      <c r="J52">
        <f t="shared" si="2"/>
        <v>4.83</v>
      </c>
      <c r="L52">
        <v>20</v>
      </c>
      <c r="M52">
        <v>5</v>
      </c>
      <c r="N52" t="s">
        <v>16</v>
      </c>
      <c r="O52" t="s">
        <v>17</v>
      </c>
    </row>
    <row r="53" spans="3:15" ht="15.75" x14ac:dyDescent="0.25">
      <c r="C53" t="s">
        <v>81</v>
      </c>
      <c r="D53" t="s">
        <v>339</v>
      </c>
      <c r="E53" t="s">
        <v>358</v>
      </c>
      <c r="F53" t="s">
        <v>15</v>
      </c>
      <c r="G53" s="1">
        <v>119</v>
      </c>
      <c r="H53">
        <f t="shared" si="0"/>
        <v>59.5</v>
      </c>
      <c r="I53">
        <f t="shared" si="1"/>
        <v>95.2</v>
      </c>
      <c r="J53">
        <f t="shared" si="2"/>
        <v>83.3</v>
      </c>
      <c r="L53">
        <v>20</v>
      </c>
      <c r="M53">
        <v>5</v>
      </c>
      <c r="N53" t="s">
        <v>16</v>
      </c>
      <c r="O53" t="s">
        <v>17</v>
      </c>
    </row>
    <row r="54" spans="3:15" ht="15.75" x14ac:dyDescent="0.25">
      <c r="C54" t="s">
        <v>82</v>
      </c>
      <c r="D54" t="s">
        <v>339</v>
      </c>
      <c r="E54" t="s">
        <v>359</v>
      </c>
      <c r="F54" t="s">
        <v>15</v>
      </c>
      <c r="G54" s="1">
        <v>149</v>
      </c>
      <c r="H54">
        <f t="shared" si="0"/>
        <v>74.5</v>
      </c>
      <c r="I54">
        <f t="shared" si="1"/>
        <v>119.2</v>
      </c>
      <c r="J54">
        <f t="shared" si="2"/>
        <v>104.3</v>
      </c>
      <c r="L54">
        <v>20</v>
      </c>
      <c r="M54">
        <v>5</v>
      </c>
      <c r="N54" t="s">
        <v>16</v>
      </c>
      <c r="O54" t="s">
        <v>17</v>
      </c>
    </row>
    <row r="55" spans="3:15" ht="15.75" x14ac:dyDescent="0.25">
      <c r="C55" t="s">
        <v>83</v>
      </c>
      <c r="D55" t="s">
        <v>338</v>
      </c>
      <c r="F55" t="s">
        <v>15</v>
      </c>
      <c r="G55" s="1">
        <v>18</v>
      </c>
      <c r="H55">
        <f t="shared" si="0"/>
        <v>9</v>
      </c>
      <c r="I55">
        <f t="shared" si="1"/>
        <v>14.4</v>
      </c>
      <c r="J55">
        <f t="shared" si="2"/>
        <v>12.6</v>
      </c>
      <c r="L55">
        <v>20</v>
      </c>
      <c r="M55">
        <v>5</v>
      </c>
      <c r="N55" t="s">
        <v>16</v>
      </c>
      <c r="O55" t="s">
        <v>17</v>
      </c>
    </row>
    <row r="56" spans="3:15" ht="15.75" x14ac:dyDescent="0.25">
      <c r="C56" t="s">
        <v>84</v>
      </c>
      <c r="D56" t="s">
        <v>338</v>
      </c>
      <c r="E56" t="s">
        <v>18</v>
      </c>
      <c r="F56" t="s">
        <v>15</v>
      </c>
      <c r="G56" s="1">
        <v>18</v>
      </c>
      <c r="H56">
        <f t="shared" si="0"/>
        <v>9</v>
      </c>
      <c r="I56">
        <f t="shared" si="1"/>
        <v>14.4</v>
      </c>
      <c r="J56">
        <f t="shared" si="2"/>
        <v>12.6</v>
      </c>
      <c r="L56">
        <v>20</v>
      </c>
      <c r="M56">
        <v>5</v>
      </c>
      <c r="N56" t="s">
        <v>16</v>
      </c>
      <c r="O56" t="s">
        <v>17</v>
      </c>
    </row>
    <row r="57" spans="3:15" ht="15.75" x14ac:dyDescent="0.25">
      <c r="C57" t="s">
        <v>85</v>
      </c>
      <c r="D57" t="s">
        <v>339</v>
      </c>
      <c r="E57" t="s">
        <v>360</v>
      </c>
      <c r="F57" t="s">
        <v>15</v>
      </c>
      <c r="G57" s="1">
        <v>239</v>
      </c>
      <c r="H57">
        <f t="shared" si="0"/>
        <v>119.5</v>
      </c>
      <c r="I57">
        <f t="shared" si="1"/>
        <v>191.20000000000002</v>
      </c>
      <c r="J57">
        <f t="shared" si="2"/>
        <v>167.29999999999998</v>
      </c>
      <c r="L57">
        <v>20</v>
      </c>
      <c r="M57">
        <v>5</v>
      </c>
      <c r="N57" t="s">
        <v>16</v>
      </c>
      <c r="O57" t="s">
        <v>17</v>
      </c>
    </row>
    <row r="58" spans="3:15" ht="15.75" x14ac:dyDescent="0.25">
      <c r="C58" t="s">
        <v>86</v>
      </c>
      <c r="D58" t="s">
        <v>341</v>
      </c>
      <c r="E58" t="s">
        <v>361</v>
      </c>
      <c r="F58" t="s">
        <v>15</v>
      </c>
      <c r="G58" s="1">
        <v>9.9</v>
      </c>
      <c r="H58">
        <f t="shared" si="0"/>
        <v>4.95</v>
      </c>
      <c r="I58">
        <f t="shared" si="1"/>
        <v>7.9200000000000008</v>
      </c>
      <c r="J58">
        <f t="shared" si="2"/>
        <v>6.93</v>
      </c>
      <c r="L58">
        <v>20</v>
      </c>
      <c r="M58">
        <v>5</v>
      </c>
      <c r="N58" t="s">
        <v>16</v>
      </c>
      <c r="O58" t="s">
        <v>17</v>
      </c>
    </row>
    <row r="59" spans="3:15" ht="15.75" x14ac:dyDescent="0.25">
      <c r="C59" t="s">
        <v>87</v>
      </c>
      <c r="D59" t="s">
        <v>341</v>
      </c>
      <c r="E59" t="s">
        <v>362</v>
      </c>
      <c r="F59" t="s">
        <v>15</v>
      </c>
      <c r="G59" s="1">
        <v>9.9</v>
      </c>
      <c r="H59">
        <f t="shared" si="0"/>
        <v>4.95</v>
      </c>
      <c r="I59">
        <f t="shared" si="1"/>
        <v>7.9200000000000008</v>
      </c>
      <c r="J59">
        <f t="shared" si="2"/>
        <v>6.93</v>
      </c>
      <c r="L59">
        <v>20</v>
      </c>
      <c r="M59">
        <v>5</v>
      </c>
      <c r="N59" t="s">
        <v>16</v>
      </c>
      <c r="O59" t="s">
        <v>17</v>
      </c>
    </row>
    <row r="60" spans="3:15" ht="15.75" x14ac:dyDescent="0.25">
      <c r="C60" t="s">
        <v>88</v>
      </c>
      <c r="D60" t="s">
        <v>341</v>
      </c>
      <c r="E60" t="s">
        <v>363</v>
      </c>
      <c r="F60" t="s">
        <v>15</v>
      </c>
      <c r="G60" s="1">
        <v>9.9</v>
      </c>
      <c r="H60">
        <f t="shared" si="0"/>
        <v>4.95</v>
      </c>
      <c r="I60">
        <f t="shared" si="1"/>
        <v>7.9200000000000008</v>
      </c>
      <c r="J60">
        <f t="shared" si="2"/>
        <v>6.93</v>
      </c>
      <c r="L60">
        <v>20</v>
      </c>
      <c r="M60">
        <v>5</v>
      </c>
      <c r="N60" t="s">
        <v>16</v>
      </c>
      <c r="O60" t="s">
        <v>17</v>
      </c>
    </row>
    <row r="61" spans="3:15" ht="15.75" x14ac:dyDescent="0.25">
      <c r="C61" t="s">
        <v>89</v>
      </c>
      <c r="D61" t="s">
        <v>341</v>
      </c>
      <c r="E61" t="s">
        <v>364</v>
      </c>
      <c r="F61" t="s">
        <v>15</v>
      </c>
      <c r="G61" s="1">
        <v>9.9</v>
      </c>
      <c r="H61">
        <f t="shared" si="0"/>
        <v>4.95</v>
      </c>
      <c r="I61">
        <f t="shared" si="1"/>
        <v>7.9200000000000008</v>
      </c>
      <c r="J61">
        <f t="shared" si="2"/>
        <v>6.93</v>
      </c>
      <c r="L61">
        <v>20</v>
      </c>
      <c r="M61">
        <v>5</v>
      </c>
      <c r="N61" t="s">
        <v>16</v>
      </c>
      <c r="O61" t="s">
        <v>17</v>
      </c>
    </row>
    <row r="62" spans="3:15" ht="15.75" x14ac:dyDescent="0.25">
      <c r="C62" t="s">
        <v>90</v>
      </c>
      <c r="F62" t="s">
        <v>15</v>
      </c>
      <c r="G62" s="1">
        <v>139</v>
      </c>
      <c r="H62">
        <f t="shared" si="0"/>
        <v>69.5</v>
      </c>
      <c r="I62">
        <f t="shared" si="1"/>
        <v>111.2</v>
      </c>
      <c r="J62">
        <f t="shared" si="2"/>
        <v>97.3</v>
      </c>
      <c r="L62">
        <v>20</v>
      </c>
      <c r="M62">
        <v>5</v>
      </c>
      <c r="N62" t="s">
        <v>16</v>
      </c>
      <c r="O62" t="s">
        <v>17</v>
      </c>
    </row>
    <row r="63" spans="3:15" ht="15.75" x14ac:dyDescent="0.25">
      <c r="C63" t="s">
        <v>91</v>
      </c>
      <c r="D63" t="s">
        <v>339</v>
      </c>
      <c r="E63" t="s">
        <v>365</v>
      </c>
      <c r="F63" t="s">
        <v>15</v>
      </c>
      <c r="G63" s="1">
        <v>75</v>
      </c>
      <c r="H63">
        <f t="shared" si="0"/>
        <v>37.5</v>
      </c>
      <c r="I63">
        <f t="shared" si="1"/>
        <v>60</v>
      </c>
      <c r="J63">
        <f t="shared" si="2"/>
        <v>52.5</v>
      </c>
      <c r="L63">
        <v>20</v>
      </c>
      <c r="M63">
        <v>5</v>
      </c>
      <c r="N63" t="s">
        <v>16</v>
      </c>
      <c r="O63" t="s">
        <v>17</v>
      </c>
    </row>
    <row r="64" spans="3:15" ht="15.75" x14ac:dyDescent="0.25">
      <c r="C64" t="s">
        <v>92</v>
      </c>
      <c r="D64" t="s">
        <v>339</v>
      </c>
      <c r="E64" t="s">
        <v>366</v>
      </c>
      <c r="F64" t="s">
        <v>15</v>
      </c>
      <c r="G64" s="1">
        <v>89</v>
      </c>
      <c r="H64">
        <f t="shared" si="0"/>
        <v>44.5</v>
      </c>
      <c r="I64">
        <f t="shared" si="1"/>
        <v>71.2</v>
      </c>
      <c r="J64">
        <f t="shared" si="2"/>
        <v>62.3</v>
      </c>
      <c r="L64">
        <v>20</v>
      </c>
      <c r="M64">
        <v>5</v>
      </c>
      <c r="N64" t="s">
        <v>16</v>
      </c>
      <c r="O64" t="s">
        <v>17</v>
      </c>
    </row>
    <row r="65" spans="3:15" ht="15.75" x14ac:dyDescent="0.25">
      <c r="C65" t="s">
        <v>93</v>
      </c>
      <c r="D65" t="s">
        <v>341</v>
      </c>
      <c r="E65" t="s">
        <v>367</v>
      </c>
      <c r="F65" t="s">
        <v>15</v>
      </c>
      <c r="G65" s="1">
        <v>5.9</v>
      </c>
      <c r="H65">
        <f t="shared" si="0"/>
        <v>2.95</v>
      </c>
      <c r="I65">
        <f t="shared" si="1"/>
        <v>4.7200000000000006</v>
      </c>
      <c r="J65">
        <f t="shared" si="2"/>
        <v>4.13</v>
      </c>
      <c r="L65">
        <v>20</v>
      </c>
      <c r="M65">
        <v>5</v>
      </c>
      <c r="N65" t="s">
        <v>16</v>
      </c>
      <c r="O65" t="s">
        <v>17</v>
      </c>
    </row>
    <row r="66" spans="3:15" ht="15.75" x14ac:dyDescent="0.25">
      <c r="C66" t="s">
        <v>94</v>
      </c>
      <c r="D66" t="s">
        <v>341</v>
      </c>
      <c r="E66" t="s">
        <v>368</v>
      </c>
      <c r="F66" t="s">
        <v>15</v>
      </c>
      <c r="G66" s="1">
        <v>9.9</v>
      </c>
      <c r="H66">
        <f t="shared" si="0"/>
        <v>4.95</v>
      </c>
      <c r="I66">
        <f t="shared" si="1"/>
        <v>7.9200000000000008</v>
      </c>
      <c r="J66">
        <f t="shared" si="2"/>
        <v>6.93</v>
      </c>
      <c r="L66">
        <v>20</v>
      </c>
      <c r="M66">
        <v>5</v>
      </c>
      <c r="N66" t="s">
        <v>16</v>
      </c>
      <c r="O66" t="s">
        <v>17</v>
      </c>
    </row>
    <row r="67" spans="3:15" ht="15.75" x14ac:dyDescent="0.25">
      <c r="C67" t="s">
        <v>95</v>
      </c>
      <c r="D67" t="s">
        <v>341</v>
      </c>
      <c r="F67" t="s">
        <v>15</v>
      </c>
      <c r="G67" s="1">
        <v>120</v>
      </c>
      <c r="H67">
        <f t="shared" ref="H67:H130" si="3">G67*0.5</f>
        <v>60</v>
      </c>
      <c r="I67">
        <f t="shared" ref="I67:I130" si="4">G67*0.8</f>
        <v>96</v>
      </c>
      <c r="J67">
        <f t="shared" ref="J67:J130" si="5">G67*0.7</f>
        <v>84</v>
      </c>
      <c r="L67">
        <v>20</v>
      </c>
      <c r="M67">
        <v>5</v>
      </c>
      <c r="N67" t="s">
        <v>16</v>
      </c>
      <c r="O67" t="s">
        <v>17</v>
      </c>
    </row>
    <row r="68" spans="3:15" ht="15.75" x14ac:dyDescent="0.25">
      <c r="C68" t="s">
        <v>96</v>
      </c>
      <c r="D68" t="s">
        <v>340</v>
      </c>
      <c r="E68" t="s">
        <v>18</v>
      </c>
      <c r="F68" t="s">
        <v>15</v>
      </c>
      <c r="G68" s="1">
        <v>54</v>
      </c>
      <c r="H68">
        <f t="shared" si="3"/>
        <v>27</v>
      </c>
      <c r="I68">
        <f t="shared" si="4"/>
        <v>43.2</v>
      </c>
      <c r="J68">
        <f t="shared" si="5"/>
        <v>37.799999999999997</v>
      </c>
      <c r="L68">
        <v>20</v>
      </c>
      <c r="M68">
        <v>5</v>
      </c>
      <c r="N68" t="s">
        <v>16</v>
      </c>
      <c r="O68" t="s">
        <v>17</v>
      </c>
    </row>
    <row r="69" spans="3:15" ht="15.75" x14ac:dyDescent="0.25">
      <c r="C69" t="s">
        <v>97</v>
      </c>
      <c r="D69" t="s">
        <v>340</v>
      </c>
      <c r="E69" t="s">
        <v>18</v>
      </c>
      <c r="F69" t="s">
        <v>15</v>
      </c>
      <c r="G69" s="1">
        <v>59</v>
      </c>
      <c r="H69">
        <f t="shared" si="3"/>
        <v>29.5</v>
      </c>
      <c r="I69">
        <f t="shared" si="4"/>
        <v>47.2</v>
      </c>
      <c r="J69">
        <f t="shared" si="5"/>
        <v>41.3</v>
      </c>
      <c r="L69">
        <v>20</v>
      </c>
      <c r="M69">
        <v>5</v>
      </c>
      <c r="N69" t="s">
        <v>16</v>
      </c>
      <c r="O69" t="s">
        <v>17</v>
      </c>
    </row>
    <row r="70" spans="3:15" ht="15.75" x14ac:dyDescent="0.25">
      <c r="C70" t="s">
        <v>98</v>
      </c>
      <c r="D70" t="s">
        <v>340</v>
      </c>
      <c r="E70" t="s">
        <v>18</v>
      </c>
      <c r="F70" t="s">
        <v>15</v>
      </c>
      <c r="G70" s="1">
        <v>59</v>
      </c>
      <c r="H70">
        <f t="shared" si="3"/>
        <v>29.5</v>
      </c>
      <c r="I70">
        <f t="shared" si="4"/>
        <v>47.2</v>
      </c>
      <c r="J70">
        <f t="shared" si="5"/>
        <v>41.3</v>
      </c>
      <c r="L70">
        <v>20</v>
      </c>
      <c r="M70">
        <v>5</v>
      </c>
      <c r="N70" t="s">
        <v>16</v>
      </c>
      <c r="O70" t="s">
        <v>17</v>
      </c>
    </row>
    <row r="71" spans="3:15" ht="15.75" x14ac:dyDescent="0.25">
      <c r="C71" t="s">
        <v>99</v>
      </c>
      <c r="D71" t="s">
        <v>340</v>
      </c>
      <c r="E71" t="s">
        <v>18</v>
      </c>
      <c r="F71" t="s">
        <v>15</v>
      </c>
      <c r="G71" s="1">
        <v>49</v>
      </c>
      <c r="H71">
        <f t="shared" si="3"/>
        <v>24.5</v>
      </c>
      <c r="I71">
        <f t="shared" si="4"/>
        <v>39.200000000000003</v>
      </c>
      <c r="J71">
        <f t="shared" si="5"/>
        <v>34.299999999999997</v>
      </c>
      <c r="L71">
        <v>20</v>
      </c>
      <c r="M71">
        <v>5</v>
      </c>
      <c r="N71" t="s">
        <v>16</v>
      </c>
      <c r="O71" t="s">
        <v>17</v>
      </c>
    </row>
    <row r="72" spans="3:15" ht="15.75" x14ac:dyDescent="0.25">
      <c r="C72" t="s">
        <v>100</v>
      </c>
      <c r="D72" t="s">
        <v>340</v>
      </c>
      <c r="E72" t="s">
        <v>18</v>
      </c>
      <c r="F72" t="s">
        <v>15</v>
      </c>
      <c r="G72" s="1">
        <v>28</v>
      </c>
      <c r="H72">
        <f t="shared" si="3"/>
        <v>14</v>
      </c>
      <c r="I72">
        <f t="shared" si="4"/>
        <v>22.400000000000002</v>
      </c>
      <c r="J72">
        <f t="shared" si="5"/>
        <v>19.599999999999998</v>
      </c>
      <c r="L72">
        <v>20</v>
      </c>
      <c r="M72">
        <v>5</v>
      </c>
      <c r="N72" t="s">
        <v>16</v>
      </c>
      <c r="O72" t="s">
        <v>17</v>
      </c>
    </row>
    <row r="73" spans="3:15" ht="15.75" x14ac:dyDescent="0.25">
      <c r="C73" t="s">
        <v>101</v>
      </c>
      <c r="D73" t="s">
        <v>340</v>
      </c>
      <c r="E73" t="s">
        <v>18</v>
      </c>
      <c r="F73" t="s">
        <v>15</v>
      </c>
      <c r="G73" s="1">
        <v>28</v>
      </c>
      <c r="H73">
        <f t="shared" si="3"/>
        <v>14</v>
      </c>
      <c r="I73">
        <f t="shared" si="4"/>
        <v>22.400000000000002</v>
      </c>
      <c r="J73">
        <f t="shared" si="5"/>
        <v>19.599999999999998</v>
      </c>
      <c r="L73">
        <v>20</v>
      </c>
      <c r="M73">
        <v>5</v>
      </c>
      <c r="N73" t="s">
        <v>16</v>
      </c>
      <c r="O73" t="s">
        <v>17</v>
      </c>
    </row>
    <row r="74" spans="3:15" ht="15.75" x14ac:dyDescent="0.25">
      <c r="C74" t="s">
        <v>102</v>
      </c>
      <c r="D74" t="s">
        <v>340</v>
      </c>
      <c r="E74" t="s">
        <v>18</v>
      </c>
      <c r="F74" t="s">
        <v>15</v>
      </c>
      <c r="G74" s="1">
        <v>26.9</v>
      </c>
      <c r="H74">
        <f t="shared" si="3"/>
        <v>13.45</v>
      </c>
      <c r="I74">
        <f t="shared" si="4"/>
        <v>21.52</v>
      </c>
      <c r="J74">
        <f t="shared" si="5"/>
        <v>18.829999999999998</v>
      </c>
      <c r="L74">
        <v>20</v>
      </c>
      <c r="M74">
        <v>5</v>
      </c>
      <c r="N74" t="s">
        <v>16</v>
      </c>
      <c r="O74" t="s">
        <v>17</v>
      </c>
    </row>
    <row r="75" spans="3:15" ht="15.75" x14ac:dyDescent="0.25">
      <c r="C75" t="s">
        <v>103</v>
      </c>
      <c r="D75" t="s">
        <v>340</v>
      </c>
      <c r="E75" t="s">
        <v>18</v>
      </c>
      <c r="F75" t="s">
        <v>15</v>
      </c>
      <c r="G75" s="1">
        <v>26</v>
      </c>
      <c r="H75">
        <f t="shared" si="3"/>
        <v>13</v>
      </c>
      <c r="I75">
        <f t="shared" si="4"/>
        <v>20.8</v>
      </c>
      <c r="J75">
        <f t="shared" si="5"/>
        <v>18.2</v>
      </c>
      <c r="L75">
        <v>20</v>
      </c>
      <c r="M75">
        <v>5</v>
      </c>
      <c r="N75" t="s">
        <v>16</v>
      </c>
      <c r="O75" t="s">
        <v>17</v>
      </c>
    </row>
    <row r="76" spans="3:15" ht="15.75" x14ac:dyDescent="0.25">
      <c r="C76" t="s">
        <v>104</v>
      </c>
      <c r="D76" t="s">
        <v>340</v>
      </c>
      <c r="E76" t="s">
        <v>18</v>
      </c>
      <c r="F76" t="s">
        <v>15</v>
      </c>
      <c r="G76" s="1">
        <v>49</v>
      </c>
      <c r="H76">
        <f t="shared" si="3"/>
        <v>24.5</v>
      </c>
      <c r="I76">
        <f t="shared" si="4"/>
        <v>39.200000000000003</v>
      </c>
      <c r="J76">
        <f t="shared" si="5"/>
        <v>34.299999999999997</v>
      </c>
      <c r="L76">
        <v>20</v>
      </c>
      <c r="M76">
        <v>5</v>
      </c>
      <c r="N76" t="s">
        <v>16</v>
      </c>
      <c r="O76" t="s">
        <v>17</v>
      </c>
    </row>
    <row r="77" spans="3:15" ht="15.75" x14ac:dyDescent="0.25">
      <c r="C77" t="s">
        <v>105</v>
      </c>
      <c r="D77" t="s">
        <v>340</v>
      </c>
      <c r="E77" t="s">
        <v>18</v>
      </c>
      <c r="F77" t="s">
        <v>15</v>
      </c>
      <c r="G77" s="1">
        <v>26</v>
      </c>
      <c r="H77">
        <f t="shared" si="3"/>
        <v>13</v>
      </c>
      <c r="I77">
        <f t="shared" si="4"/>
        <v>20.8</v>
      </c>
      <c r="J77">
        <f t="shared" si="5"/>
        <v>18.2</v>
      </c>
      <c r="L77">
        <v>20</v>
      </c>
      <c r="M77">
        <v>5</v>
      </c>
      <c r="N77" t="s">
        <v>16</v>
      </c>
      <c r="O77" t="s">
        <v>17</v>
      </c>
    </row>
    <row r="78" spans="3:15" ht="15.75" x14ac:dyDescent="0.25">
      <c r="C78" t="s">
        <v>106</v>
      </c>
      <c r="D78" t="s">
        <v>340</v>
      </c>
      <c r="E78" t="s">
        <v>18</v>
      </c>
      <c r="F78" t="s">
        <v>15</v>
      </c>
      <c r="G78" s="1">
        <v>49</v>
      </c>
      <c r="H78">
        <f t="shared" si="3"/>
        <v>24.5</v>
      </c>
      <c r="I78">
        <f t="shared" si="4"/>
        <v>39.200000000000003</v>
      </c>
      <c r="J78">
        <f t="shared" si="5"/>
        <v>34.299999999999997</v>
      </c>
      <c r="L78">
        <v>20</v>
      </c>
      <c r="M78">
        <v>5</v>
      </c>
      <c r="N78" t="s">
        <v>16</v>
      </c>
      <c r="O78" t="s">
        <v>17</v>
      </c>
    </row>
    <row r="79" spans="3:15" ht="15.75" x14ac:dyDescent="0.25">
      <c r="C79" t="s">
        <v>107</v>
      </c>
      <c r="D79" t="s">
        <v>340</v>
      </c>
      <c r="E79" t="s">
        <v>18</v>
      </c>
      <c r="F79" t="s">
        <v>15</v>
      </c>
      <c r="G79" s="1">
        <v>29</v>
      </c>
      <c r="H79">
        <f t="shared" si="3"/>
        <v>14.5</v>
      </c>
      <c r="I79">
        <f t="shared" si="4"/>
        <v>23.200000000000003</v>
      </c>
      <c r="J79">
        <f t="shared" si="5"/>
        <v>20.299999999999997</v>
      </c>
      <c r="L79">
        <v>20</v>
      </c>
      <c r="M79">
        <v>5</v>
      </c>
      <c r="N79" t="s">
        <v>16</v>
      </c>
      <c r="O79" t="s">
        <v>17</v>
      </c>
    </row>
    <row r="80" spans="3:15" ht="15.75" x14ac:dyDescent="0.25">
      <c r="C80" t="s">
        <v>105</v>
      </c>
      <c r="D80" t="s">
        <v>340</v>
      </c>
      <c r="E80" t="s">
        <v>18</v>
      </c>
      <c r="F80" t="s">
        <v>15</v>
      </c>
      <c r="G80" s="1">
        <v>26</v>
      </c>
      <c r="H80">
        <f t="shared" si="3"/>
        <v>13</v>
      </c>
      <c r="I80">
        <f t="shared" si="4"/>
        <v>20.8</v>
      </c>
      <c r="J80">
        <f t="shared" si="5"/>
        <v>18.2</v>
      </c>
      <c r="L80">
        <v>20</v>
      </c>
      <c r="M80">
        <v>5</v>
      </c>
      <c r="N80" t="s">
        <v>16</v>
      </c>
      <c r="O80" t="s">
        <v>17</v>
      </c>
    </row>
    <row r="81" spans="3:15" ht="15.75" x14ac:dyDescent="0.25">
      <c r="C81" t="s">
        <v>108</v>
      </c>
      <c r="D81" t="s">
        <v>340</v>
      </c>
      <c r="E81" t="s">
        <v>18</v>
      </c>
      <c r="F81" t="s">
        <v>15</v>
      </c>
      <c r="G81" s="1">
        <v>59</v>
      </c>
      <c r="H81">
        <f t="shared" si="3"/>
        <v>29.5</v>
      </c>
      <c r="I81">
        <f t="shared" si="4"/>
        <v>47.2</v>
      </c>
      <c r="J81">
        <f t="shared" si="5"/>
        <v>41.3</v>
      </c>
      <c r="L81">
        <v>20</v>
      </c>
      <c r="M81">
        <v>5</v>
      </c>
      <c r="N81" t="s">
        <v>16</v>
      </c>
      <c r="O81" t="s">
        <v>17</v>
      </c>
    </row>
    <row r="82" spans="3:15" ht="15.75" x14ac:dyDescent="0.25">
      <c r="C82" t="s">
        <v>109</v>
      </c>
      <c r="D82" t="s">
        <v>340</v>
      </c>
      <c r="E82" t="s">
        <v>18</v>
      </c>
      <c r="F82" t="s">
        <v>15</v>
      </c>
      <c r="G82" s="1">
        <v>39</v>
      </c>
      <c r="H82">
        <f t="shared" si="3"/>
        <v>19.5</v>
      </c>
      <c r="I82">
        <f t="shared" si="4"/>
        <v>31.200000000000003</v>
      </c>
      <c r="J82">
        <f t="shared" si="5"/>
        <v>27.299999999999997</v>
      </c>
      <c r="L82">
        <v>20</v>
      </c>
      <c r="M82">
        <v>5</v>
      </c>
      <c r="N82" t="s">
        <v>16</v>
      </c>
      <c r="O82" t="s">
        <v>17</v>
      </c>
    </row>
    <row r="83" spans="3:15" ht="15.75" x14ac:dyDescent="0.25">
      <c r="C83" t="s">
        <v>110</v>
      </c>
      <c r="D83" t="s">
        <v>340</v>
      </c>
      <c r="E83" t="s">
        <v>18</v>
      </c>
      <c r="F83" t="s">
        <v>15</v>
      </c>
      <c r="G83" s="1">
        <v>39</v>
      </c>
      <c r="H83">
        <f t="shared" si="3"/>
        <v>19.5</v>
      </c>
      <c r="I83">
        <f t="shared" si="4"/>
        <v>31.200000000000003</v>
      </c>
      <c r="J83">
        <f t="shared" si="5"/>
        <v>27.299999999999997</v>
      </c>
      <c r="L83">
        <v>20</v>
      </c>
      <c r="M83">
        <v>5</v>
      </c>
      <c r="N83" t="s">
        <v>16</v>
      </c>
      <c r="O83" t="s">
        <v>17</v>
      </c>
    </row>
    <row r="84" spans="3:15" ht="15.75" x14ac:dyDescent="0.25">
      <c r="C84" t="s">
        <v>111</v>
      </c>
      <c r="D84" t="s">
        <v>340</v>
      </c>
      <c r="E84" t="s">
        <v>18</v>
      </c>
      <c r="F84" t="s">
        <v>15</v>
      </c>
      <c r="G84" s="1">
        <v>49</v>
      </c>
      <c r="H84">
        <f t="shared" si="3"/>
        <v>24.5</v>
      </c>
      <c r="I84">
        <f t="shared" si="4"/>
        <v>39.200000000000003</v>
      </c>
      <c r="J84">
        <f t="shared" si="5"/>
        <v>34.299999999999997</v>
      </c>
      <c r="L84">
        <v>20</v>
      </c>
      <c r="M84">
        <v>5</v>
      </c>
      <c r="N84" t="s">
        <v>16</v>
      </c>
      <c r="O84" t="s">
        <v>17</v>
      </c>
    </row>
    <row r="85" spans="3:15" ht="15.75" x14ac:dyDescent="0.25">
      <c r="C85" t="s">
        <v>112</v>
      </c>
      <c r="D85" t="s">
        <v>340</v>
      </c>
      <c r="E85" t="s">
        <v>18</v>
      </c>
      <c r="F85" t="s">
        <v>15</v>
      </c>
      <c r="G85" s="1">
        <v>49</v>
      </c>
      <c r="H85">
        <f t="shared" si="3"/>
        <v>24.5</v>
      </c>
      <c r="I85">
        <f t="shared" si="4"/>
        <v>39.200000000000003</v>
      </c>
      <c r="J85">
        <f t="shared" si="5"/>
        <v>34.299999999999997</v>
      </c>
      <c r="L85">
        <v>20</v>
      </c>
      <c r="M85">
        <v>5</v>
      </c>
      <c r="N85" t="s">
        <v>16</v>
      </c>
      <c r="O85" t="s">
        <v>17</v>
      </c>
    </row>
    <row r="86" spans="3:15" ht="15.75" x14ac:dyDescent="0.25">
      <c r="C86" t="s">
        <v>113</v>
      </c>
      <c r="D86" t="s">
        <v>340</v>
      </c>
      <c r="E86" t="s">
        <v>18</v>
      </c>
      <c r="F86" t="s">
        <v>15</v>
      </c>
      <c r="G86" s="1">
        <v>38</v>
      </c>
      <c r="H86">
        <f t="shared" si="3"/>
        <v>19</v>
      </c>
      <c r="I86">
        <f t="shared" si="4"/>
        <v>30.400000000000002</v>
      </c>
      <c r="J86">
        <f t="shared" si="5"/>
        <v>26.599999999999998</v>
      </c>
      <c r="L86">
        <v>20</v>
      </c>
      <c r="M86">
        <v>5</v>
      </c>
      <c r="N86" t="s">
        <v>16</v>
      </c>
      <c r="O86" t="s">
        <v>17</v>
      </c>
    </row>
    <row r="87" spans="3:15" ht="15.75" x14ac:dyDescent="0.25">
      <c r="C87" t="s">
        <v>114</v>
      </c>
      <c r="D87" t="s">
        <v>340</v>
      </c>
      <c r="E87" t="s">
        <v>18</v>
      </c>
      <c r="F87" t="s">
        <v>15</v>
      </c>
      <c r="G87" s="1">
        <v>36</v>
      </c>
      <c r="H87">
        <f t="shared" si="3"/>
        <v>18</v>
      </c>
      <c r="I87">
        <f t="shared" si="4"/>
        <v>28.8</v>
      </c>
      <c r="J87">
        <f t="shared" si="5"/>
        <v>25.2</v>
      </c>
      <c r="L87">
        <v>20</v>
      </c>
      <c r="M87">
        <v>5</v>
      </c>
      <c r="N87" t="s">
        <v>16</v>
      </c>
      <c r="O87" t="s">
        <v>17</v>
      </c>
    </row>
    <row r="88" spans="3:15" ht="15.75" x14ac:dyDescent="0.25">
      <c r="C88" t="s">
        <v>115</v>
      </c>
      <c r="D88" t="s">
        <v>340</v>
      </c>
      <c r="E88" t="s">
        <v>18</v>
      </c>
      <c r="F88" t="s">
        <v>15</v>
      </c>
      <c r="G88" s="1">
        <v>44</v>
      </c>
      <c r="H88">
        <f t="shared" si="3"/>
        <v>22</v>
      </c>
      <c r="I88">
        <f t="shared" si="4"/>
        <v>35.200000000000003</v>
      </c>
      <c r="J88">
        <f t="shared" si="5"/>
        <v>30.799999999999997</v>
      </c>
      <c r="L88">
        <v>20</v>
      </c>
      <c r="M88">
        <v>5</v>
      </c>
      <c r="N88" t="s">
        <v>16</v>
      </c>
      <c r="O88" t="s">
        <v>17</v>
      </c>
    </row>
    <row r="89" spans="3:15" ht="15.75" x14ac:dyDescent="0.25">
      <c r="C89" t="s">
        <v>116</v>
      </c>
      <c r="D89" t="s">
        <v>340</v>
      </c>
      <c r="E89" t="s">
        <v>18</v>
      </c>
      <c r="F89" t="s">
        <v>15</v>
      </c>
      <c r="G89" s="1">
        <v>45</v>
      </c>
      <c r="H89">
        <f t="shared" si="3"/>
        <v>22.5</v>
      </c>
      <c r="I89">
        <f t="shared" si="4"/>
        <v>36</v>
      </c>
      <c r="J89">
        <f t="shared" si="5"/>
        <v>31.499999999999996</v>
      </c>
      <c r="L89">
        <v>20</v>
      </c>
      <c r="M89">
        <v>5</v>
      </c>
      <c r="N89" t="s">
        <v>16</v>
      </c>
      <c r="O89" t="s">
        <v>17</v>
      </c>
    </row>
    <row r="90" spans="3:15" ht="15.75" x14ac:dyDescent="0.25">
      <c r="C90" t="s">
        <v>117</v>
      </c>
      <c r="D90" t="s">
        <v>340</v>
      </c>
      <c r="E90" t="s">
        <v>18</v>
      </c>
      <c r="F90" t="s">
        <v>15</v>
      </c>
      <c r="G90" s="1">
        <v>64.900000000000006</v>
      </c>
      <c r="H90">
        <f t="shared" si="3"/>
        <v>32.450000000000003</v>
      </c>
      <c r="I90">
        <f t="shared" si="4"/>
        <v>51.920000000000009</v>
      </c>
      <c r="J90">
        <f t="shared" si="5"/>
        <v>45.43</v>
      </c>
      <c r="L90">
        <v>20</v>
      </c>
      <c r="M90">
        <v>5</v>
      </c>
      <c r="N90" t="s">
        <v>16</v>
      </c>
      <c r="O90" t="s">
        <v>17</v>
      </c>
    </row>
    <row r="91" spans="3:15" ht="15.75" x14ac:dyDescent="0.25">
      <c r="C91" t="s">
        <v>118</v>
      </c>
      <c r="D91" t="s">
        <v>340</v>
      </c>
      <c r="E91" t="s">
        <v>18</v>
      </c>
      <c r="F91" t="s">
        <v>15</v>
      </c>
      <c r="G91" s="1">
        <v>49</v>
      </c>
      <c r="H91">
        <f t="shared" si="3"/>
        <v>24.5</v>
      </c>
      <c r="I91">
        <f t="shared" si="4"/>
        <v>39.200000000000003</v>
      </c>
      <c r="J91">
        <f t="shared" si="5"/>
        <v>34.299999999999997</v>
      </c>
      <c r="L91">
        <v>20</v>
      </c>
      <c r="M91">
        <v>5</v>
      </c>
      <c r="N91" t="s">
        <v>16</v>
      </c>
      <c r="O91" t="s">
        <v>17</v>
      </c>
    </row>
    <row r="92" spans="3:15" ht="15.75" x14ac:dyDescent="0.25">
      <c r="C92" t="s">
        <v>119</v>
      </c>
      <c r="D92" t="s">
        <v>340</v>
      </c>
      <c r="E92" t="s">
        <v>18</v>
      </c>
      <c r="F92" t="s">
        <v>15</v>
      </c>
      <c r="G92" s="1">
        <v>37</v>
      </c>
      <c r="H92">
        <f t="shared" si="3"/>
        <v>18.5</v>
      </c>
      <c r="I92">
        <f t="shared" si="4"/>
        <v>29.6</v>
      </c>
      <c r="J92">
        <f t="shared" si="5"/>
        <v>25.9</v>
      </c>
      <c r="L92">
        <v>20</v>
      </c>
      <c r="M92">
        <v>5</v>
      </c>
      <c r="N92" t="s">
        <v>16</v>
      </c>
      <c r="O92" t="s">
        <v>17</v>
      </c>
    </row>
    <row r="93" spans="3:15" ht="15.75" x14ac:dyDescent="0.25">
      <c r="C93" t="s">
        <v>120</v>
      </c>
      <c r="D93" t="s">
        <v>340</v>
      </c>
      <c r="E93" t="s">
        <v>18</v>
      </c>
      <c r="F93" t="s">
        <v>15</v>
      </c>
      <c r="G93" s="1">
        <v>65</v>
      </c>
      <c r="H93">
        <f t="shared" si="3"/>
        <v>32.5</v>
      </c>
      <c r="I93">
        <f t="shared" si="4"/>
        <v>52</v>
      </c>
      <c r="J93">
        <f t="shared" si="5"/>
        <v>45.5</v>
      </c>
      <c r="L93">
        <v>20</v>
      </c>
      <c r="M93">
        <v>5</v>
      </c>
      <c r="N93" t="s">
        <v>16</v>
      </c>
      <c r="O93" t="s">
        <v>17</v>
      </c>
    </row>
    <row r="94" spans="3:15" ht="15.75" x14ac:dyDescent="0.25">
      <c r="C94" t="s">
        <v>121</v>
      </c>
      <c r="D94" t="s">
        <v>340</v>
      </c>
      <c r="E94" t="s">
        <v>18</v>
      </c>
      <c r="F94" t="s">
        <v>15</v>
      </c>
      <c r="G94" s="1">
        <v>29</v>
      </c>
      <c r="H94">
        <f t="shared" si="3"/>
        <v>14.5</v>
      </c>
      <c r="I94">
        <f t="shared" si="4"/>
        <v>23.200000000000003</v>
      </c>
      <c r="J94">
        <f t="shared" si="5"/>
        <v>20.299999999999997</v>
      </c>
      <c r="L94">
        <v>20</v>
      </c>
      <c r="M94">
        <v>5</v>
      </c>
      <c r="N94" t="s">
        <v>16</v>
      </c>
      <c r="O94" t="s">
        <v>17</v>
      </c>
    </row>
    <row r="95" spans="3:15" ht="15.75" x14ac:dyDescent="0.25">
      <c r="C95" t="s">
        <v>122</v>
      </c>
      <c r="D95" t="s">
        <v>340</v>
      </c>
      <c r="E95" t="s">
        <v>18</v>
      </c>
      <c r="F95" t="s">
        <v>15</v>
      </c>
      <c r="G95" s="1">
        <v>15</v>
      </c>
      <c r="H95">
        <f t="shared" si="3"/>
        <v>7.5</v>
      </c>
      <c r="I95">
        <f t="shared" si="4"/>
        <v>12</v>
      </c>
      <c r="J95">
        <f t="shared" si="5"/>
        <v>10.5</v>
      </c>
      <c r="L95">
        <v>20</v>
      </c>
      <c r="M95">
        <v>5</v>
      </c>
      <c r="N95" t="s">
        <v>16</v>
      </c>
      <c r="O95" t="s">
        <v>17</v>
      </c>
    </row>
    <row r="96" spans="3:15" ht="15.75" x14ac:dyDescent="0.25">
      <c r="C96" t="s">
        <v>123</v>
      </c>
      <c r="D96" t="s">
        <v>340</v>
      </c>
      <c r="E96" t="s">
        <v>18</v>
      </c>
      <c r="F96" t="s">
        <v>15</v>
      </c>
      <c r="G96" s="1">
        <v>35</v>
      </c>
      <c r="H96">
        <f t="shared" si="3"/>
        <v>17.5</v>
      </c>
      <c r="I96">
        <f t="shared" si="4"/>
        <v>28</v>
      </c>
      <c r="J96">
        <f t="shared" si="5"/>
        <v>24.5</v>
      </c>
      <c r="L96">
        <v>20</v>
      </c>
      <c r="M96">
        <v>5</v>
      </c>
      <c r="N96" t="s">
        <v>16</v>
      </c>
      <c r="O96" t="s">
        <v>17</v>
      </c>
    </row>
    <row r="97" spans="3:15" ht="15.75" x14ac:dyDescent="0.25">
      <c r="C97" t="s">
        <v>124</v>
      </c>
      <c r="D97" t="s">
        <v>340</v>
      </c>
      <c r="E97" t="s">
        <v>18</v>
      </c>
      <c r="F97" t="s">
        <v>15</v>
      </c>
      <c r="G97" s="1">
        <v>63</v>
      </c>
      <c r="H97">
        <f t="shared" si="3"/>
        <v>31.5</v>
      </c>
      <c r="I97">
        <f t="shared" si="4"/>
        <v>50.400000000000006</v>
      </c>
      <c r="J97">
        <f t="shared" si="5"/>
        <v>44.099999999999994</v>
      </c>
      <c r="L97">
        <v>20</v>
      </c>
      <c r="M97">
        <v>5</v>
      </c>
      <c r="N97" t="s">
        <v>16</v>
      </c>
      <c r="O97" t="s">
        <v>17</v>
      </c>
    </row>
    <row r="98" spans="3:15" ht="15.75" x14ac:dyDescent="0.25">
      <c r="C98" t="s">
        <v>125</v>
      </c>
      <c r="D98" t="s">
        <v>340</v>
      </c>
      <c r="E98" t="s">
        <v>18</v>
      </c>
      <c r="F98" t="s">
        <v>15</v>
      </c>
      <c r="G98" s="1">
        <v>49</v>
      </c>
      <c r="H98">
        <f t="shared" si="3"/>
        <v>24.5</v>
      </c>
      <c r="I98">
        <f t="shared" si="4"/>
        <v>39.200000000000003</v>
      </c>
      <c r="J98">
        <f t="shared" si="5"/>
        <v>34.299999999999997</v>
      </c>
      <c r="L98">
        <v>20</v>
      </c>
      <c r="M98">
        <v>5</v>
      </c>
      <c r="N98" t="s">
        <v>16</v>
      </c>
      <c r="O98" t="s">
        <v>17</v>
      </c>
    </row>
    <row r="99" spans="3:15" ht="15.75" x14ac:dyDescent="0.25">
      <c r="C99" t="s">
        <v>126</v>
      </c>
      <c r="D99" t="s">
        <v>340</v>
      </c>
      <c r="E99" t="s">
        <v>18</v>
      </c>
      <c r="F99" t="s">
        <v>15</v>
      </c>
      <c r="G99" s="1">
        <v>34</v>
      </c>
      <c r="H99">
        <f t="shared" si="3"/>
        <v>17</v>
      </c>
      <c r="I99">
        <f t="shared" si="4"/>
        <v>27.200000000000003</v>
      </c>
      <c r="J99">
        <f t="shared" si="5"/>
        <v>23.799999999999997</v>
      </c>
      <c r="L99">
        <v>20</v>
      </c>
      <c r="M99">
        <v>5</v>
      </c>
      <c r="N99" t="s">
        <v>16</v>
      </c>
      <c r="O99" t="s">
        <v>17</v>
      </c>
    </row>
    <row r="100" spans="3:15" ht="15.75" x14ac:dyDescent="0.25">
      <c r="C100" t="s">
        <v>127</v>
      </c>
      <c r="D100" t="s">
        <v>340</v>
      </c>
      <c r="E100" t="s">
        <v>18</v>
      </c>
      <c r="F100" t="s">
        <v>15</v>
      </c>
      <c r="G100" s="1">
        <v>58</v>
      </c>
      <c r="H100">
        <f t="shared" si="3"/>
        <v>29</v>
      </c>
      <c r="I100">
        <f t="shared" si="4"/>
        <v>46.400000000000006</v>
      </c>
      <c r="J100">
        <f t="shared" si="5"/>
        <v>40.599999999999994</v>
      </c>
      <c r="L100">
        <v>20</v>
      </c>
      <c r="M100">
        <v>5</v>
      </c>
      <c r="N100" t="s">
        <v>16</v>
      </c>
      <c r="O100" t="s">
        <v>17</v>
      </c>
    </row>
    <row r="101" spans="3:15" ht="15.75" x14ac:dyDescent="0.25">
      <c r="C101" t="s">
        <v>128</v>
      </c>
      <c r="D101" t="s">
        <v>340</v>
      </c>
      <c r="E101" t="s">
        <v>18</v>
      </c>
      <c r="F101" t="s">
        <v>15</v>
      </c>
      <c r="G101" s="1">
        <v>34</v>
      </c>
      <c r="H101">
        <f t="shared" si="3"/>
        <v>17</v>
      </c>
      <c r="I101">
        <f t="shared" si="4"/>
        <v>27.200000000000003</v>
      </c>
      <c r="J101">
        <f t="shared" si="5"/>
        <v>23.799999999999997</v>
      </c>
      <c r="L101">
        <v>20</v>
      </c>
      <c r="M101">
        <v>5</v>
      </c>
      <c r="N101" t="s">
        <v>16</v>
      </c>
      <c r="O101" t="s">
        <v>17</v>
      </c>
    </row>
    <row r="102" spans="3:15" ht="15.75" x14ac:dyDescent="0.25">
      <c r="C102" t="s">
        <v>129</v>
      </c>
      <c r="D102" t="s">
        <v>340</v>
      </c>
      <c r="E102" t="s">
        <v>18</v>
      </c>
      <c r="F102" t="s">
        <v>15</v>
      </c>
      <c r="G102" s="1">
        <v>39</v>
      </c>
      <c r="H102">
        <f t="shared" si="3"/>
        <v>19.5</v>
      </c>
      <c r="I102">
        <f t="shared" si="4"/>
        <v>31.200000000000003</v>
      </c>
      <c r="J102">
        <f t="shared" si="5"/>
        <v>27.299999999999997</v>
      </c>
      <c r="L102">
        <v>20</v>
      </c>
      <c r="M102">
        <v>5</v>
      </c>
      <c r="N102" t="s">
        <v>16</v>
      </c>
      <c r="O102" t="s">
        <v>17</v>
      </c>
    </row>
    <row r="103" spans="3:15" ht="15.75" x14ac:dyDescent="0.25">
      <c r="C103" t="s">
        <v>130</v>
      </c>
      <c r="D103" t="s">
        <v>340</v>
      </c>
      <c r="E103" t="s">
        <v>18</v>
      </c>
      <c r="F103" t="s">
        <v>15</v>
      </c>
      <c r="G103" s="1">
        <v>39</v>
      </c>
      <c r="H103">
        <f t="shared" si="3"/>
        <v>19.5</v>
      </c>
      <c r="I103">
        <f t="shared" si="4"/>
        <v>31.200000000000003</v>
      </c>
      <c r="J103">
        <f t="shared" si="5"/>
        <v>27.299999999999997</v>
      </c>
      <c r="L103">
        <v>20</v>
      </c>
      <c r="M103">
        <v>5</v>
      </c>
      <c r="N103" t="s">
        <v>16</v>
      </c>
      <c r="O103" t="s">
        <v>17</v>
      </c>
    </row>
    <row r="104" spans="3:15" ht="15.75" x14ac:dyDescent="0.25">
      <c r="C104" t="s">
        <v>131</v>
      </c>
      <c r="D104" t="s">
        <v>340</v>
      </c>
      <c r="E104" t="s">
        <v>18</v>
      </c>
      <c r="F104" t="s">
        <v>15</v>
      </c>
      <c r="G104" s="1">
        <v>49</v>
      </c>
      <c r="H104">
        <f t="shared" si="3"/>
        <v>24.5</v>
      </c>
      <c r="I104">
        <f t="shared" si="4"/>
        <v>39.200000000000003</v>
      </c>
      <c r="J104">
        <f t="shared" si="5"/>
        <v>34.299999999999997</v>
      </c>
      <c r="L104">
        <v>20</v>
      </c>
      <c r="M104">
        <v>5</v>
      </c>
      <c r="N104" t="s">
        <v>16</v>
      </c>
      <c r="O104" t="s">
        <v>17</v>
      </c>
    </row>
    <row r="105" spans="3:15" ht="15.75" x14ac:dyDescent="0.25">
      <c r="C105" t="s">
        <v>132</v>
      </c>
      <c r="D105" t="s">
        <v>340</v>
      </c>
      <c r="E105" t="s">
        <v>18</v>
      </c>
      <c r="F105" t="s">
        <v>15</v>
      </c>
      <c r="G105" s="1">
        <v>17</v>
      </c>
      <c r="H105">
        <f t="shared" si="3"/>
        <v>8.5</v>
      </c>
      <c r="I105">
        <f t="shared" si="4"/>
        <v>13.600000000000001</v>
      </c>
      <c r="J105">
        <f t="shared" si="5"/>
        <v>11.899999999999999</v>
      </c>
      <c r="L105">
        <v>20</v>
      </c>
      <c r="M105">
        <v>5</v>
      </c>
      <c r="N105" t="s">
        <v>16</v>
      </c>
      <c r="O105" t="s">
        <v>17</v>
      </c>
    </row>
    <row r="106" spans="3:15" ht="15.75" x14ac:dyDescent="0.25">
      <c r="C106" t="s">
        <v>133</v>
      </c>
      <c r="D106" t="s">
        <v>340</v>
      </c>
      <c r="E106" t="s">
        <v>18</v>
      </c>
      <c r="F106" t="s">
        <v>15</v>
      </c>
      <c r="G106" s="1">
        <v>20</v>
      </c>
      <c r="H106">
        <f t="shared" si="3"/>
        <v>10</v>
      </c>
      <c r="I106">
        <f t="shared" si="4"/>
        <v>16</v>
      </c>
      <c r="J106">
        <f t="shared" si="5"/>
        <v>14</v>
      </c>
      <c r="L106">
        <v>20</v>
      </c>
      <c r="M106">
        <v>5</v>
      </c>
      <c r="N106" t="s">
        <v>16</v>
      </c>
      <c r="O106" t="s">
        <v>17</v>
      </c>
    </row>
    <row r="107" spans="3:15" ht="15.75" x14ac:dyDescent="0.25">
      <c r="C107" t="s">
        <v>134</v>
      </c>
      <c r="D107" t="s">
        <v>340</v>
      </c>
      <c r="E107" t="s">
        <v>18</v>
      </c>
      <c r="F107" t="s">
        <v>15</v>
      </c>
      <c r="G107" s="1">
        <v>64.900000000000006</v>
      </c>
      <c r="H107">
        <f t="shared" si="3"/>
        <v>32.450000000000003</v>
      </c>
      <c r="I107">
        <f t="shared" si="4"/>
        <v>51.920000000000009</v>
      </c>
      <c r="J107">
        <f t="shared" si="5"/>
        <v>45.43</v>
      </c>
      <c r="L107">
        <v>20</v>
      </c>
      <c r="M107">
        <v>5</v>
      </c>
      <c r="N107" t="s">
        <v>16</v>
      </c>
      <c r="O107" t="s">
        <v>17</v>
      </c>
    </row>
    <row r="108" spans="3:15" ht="15.75" x14ac:dyDescent="0.25">
      <c r="C108" t="s">
        <v>135</v>
      </c>
      <c r="D108" t="s">
        <v>340</v>
      </c>
      <c r="E108" t="s">
        <v>18</v>
      </c>
      <c r="F108" t="s">
        <v>15</v>
      </c>
      <c r="G108" s="1">
        <v>58</v>
      </c>
      <c r="H108">
        <f t="shared" si="3"/>
        <v>29</v>
      </c>
      <c r="I108">
        <f t="shared" si="4"/>
        <v>46.400000000000006</v>
      </c>
      <c r="J108">
        <f t="shared" si="5"/>
        <v>40.599999999999994</v>
      </c>
      <c r="L108">
        <v>20</v>
      </c>
      <c r="M108">
        <v>5</v>
      </c>
      <c r="N108" t="s">
        <v>16</v>
      </c>
      <c r="O108" t="s">
        <v>17</v>
      </c>
    </row>
    <row r="109" spans="3:15" ht="15.75" x14ac:dyDescent="0.25">
      <c r="C109" t="s">
        <v>136</v>
      </c>
      <c r="D109" t="s">
        <v>340</v>
      </c>
      <c r="E109" t="s">
        <v>18</v>
      </c>
      <c r="F109" t="s">
        <v>15</v>
      </c>
      <c r="G109" s="1">
        <v>38</v>
      </c>
      <c r="H109">
        <f t="shared" si="3"/>
        <v>19</v>
      </c>
      <c r="I109">
        <f t="shared" si="4"/>
        <v>30.400000000000002</v>
      </c>
      <c r="J109">
        <f t="shared" si="5"/>
        <v>26.599999999999998</v>
      </c>
      <c r="L109">
        <v>20</v>
      </c>
      <c r="M109">
        <v>5</v>
      </c>
      <c r="N109" t="s">
        <v>16</v>
      </c>
      <c r="O109" t="s">
        <v>17</v>
      </c>
    </row>
    <row r="110" spans="3:15" ht="15.75" x14ac:dyDescent="0.25">
      <c r="C110" t="s">
        <v>137</v>
      </c>
      <c r="D110" t="s">
        <v>340</v>
      </c>
      <c r="E110" t="s">
        <v>18</v>
      </c>
      <c r="F110" t="s">
        <v>15</v>
      </c>
      <c r="G110" s="1">
        <v>36</v>
      </c>
      <c r="H110">
        <f t="shared" si="3"/>
        <v>18</v>
      </c>
      <c r="I110">
        <f t="shared" si="4"/>
        <v>28.8</v>
      </c>
      <c r="J110">
        <f t="shared" si="5"/>
        <v>25.2</v>
      </c>
      <c r="L110">
        <v>20</v>
      </c>
      <c r="M110">
        <v>5</v>
      </c>
      <c r="N110" t="s">
        <v>16</v>
      </c>
      <c r="O110" t="s">
        <v>17</v>
      </c>
    </row>
    <row r="111" spans="3:15" ht="15.75" x14ac:dyDescent="0.25">
      <c r="C111" t="s">
        <v>138</v>
      </c>
      <c r="D111" t="s">
        <v>342</v>
      </c>
      <c r="E111" t="s">
        <v>18</v>
      </c>
      <c r="F111" t="s">
        <v>15</v>
      </c>
      <c r="G111" s="1">
        <v>14.9</v>
      </c>
      <c r="H111">
        <f t="shared" si="3"/>
        <v>7.45</v>
      </c>
      <c r="I111">
        <f t="shared" si="4"/>
        <v>11.920000000000002</v>
      </c>
      <c r="J111">
        <f t="shared" si="5"/>
        <v>10.43</v>
      </c>
      <c r="L111">
        <v>20</v>
      </c>
      <c r="M111">
        <v>5</v>
      </c>
      <c r="N111" t="s">
        <v>16</v>
      </c>
      <c r="O111" t="s">
        <v>17</v>
      </c>
    </row>
    <row r="112" spans="3:15" ht="15.75" x14ac:dyDescent="0.25">
      <c r="C112" t="s">
        <v>139</v>
      </c>
      <c r="D112" t="s">
        <v>342</v>
      </c>
      <c r="E112" t="s">
        <v>369</v>
      </c>
      <c r="F112" t="s">
        <v>15</v>
      </c>
      <c r="G112" s="1">
        <v>5.9</v>
      </c>
      <c r="H112">
        <f t="shared" si="3"/>
        <v>2.95</v>
      </c>
      <c r="I112">
        <f t="shared" si="4"/>
        <v>4.7200000000000006</v>
      </c>
      <c r="J112">
        <f t="shared" si="5"/>
        <v>4.13</v>
      </c>
      <c r="L112">
        <v>20</v>
      </c>
      <c r="M112">
        <v>5</v>
      </c>
      <c r="N112" t="s">
        <v>16</v>
      </c>
      <c r="O112" t="s">
        <v>17</v>
      </c>
    </row>
    <row r="113" spans="3:15" ht="15.75" x14ac:dyDescent="0.25">
      <c r="C113" t="s">
        <v>140</v>
      </c>
      <c r="D113" t="s">
        <v>342</v>
      </c>
      <c r="E113" t="s">
        <v>18</v>
      </c>
      <c r="F113" t="s">
        <v>15</v>
      </c>
      <c r="G113" s="1">
        <v>9.9</v>
      </c>
      <c r="H113">
        <f t="shared" si="3"/>
        <v>4.95</v>
      </c>
      <c r="I113">
        <f t="shared" si="4"/>
        <v>7.9200000000000008</v>
      </c>
      <c r="J113">
        <f t="shared" si="5"/>
        <v>6.93</v>
      </c>
      <c r="L113">
        <v>20</v>
      </c>
      <c r="M113">
        <v>5</v>
      </c>
      <c r="N113" t="s">
        <v>16</v>
      </c>
      <c r="O113" t="s">
        <v>17</v>
      </c>
    </row>
    <row r="114" spans="3:15" ht="15.75" x14ac:dyDescent="0.25">
      <c r="C114" t="s">
        <v>141</v>
      </c>
      <c r="D114" t="s">
        <v>342</v>
      </c>
      <c r="E114" t="s">
        <v>18</v>
      </c>
      <c r="F114" t="s">
        <v>15</v>
      </c>
      <c r="G114" s="1">
        <v>12.9</v>
      </c>
      <c r="H114">
        <f t="shared" si="3"/>
        <v>6.45</v>
      </c>
      <c r="I114">
        <f t="shared" si="4"/>
        <v>10.32</v>
      </c>
      <c r="J114">
        <f t="shared" si="5"/>
        <v>9.0299999999999994</v>
      </c>
      <c r="L114">
        <v>20</v>
      </c>
      <c r="M114">
        <v>5</v>
      </c>
      <c r="N114" t="s">
        <v>16</v>
      </c>
      <c r="O114" t="s">
        <v>17</v>
      </c>
    </row>
    <row r="115" spans="3:15" ht="15.75" x14ac:dyDescent="0.25">
      <c r="C115" t="s">
        <v>142</v>
      </c>
      <c r="D115" t="s">
        <v>342</v>
      </c>
      <c r="E115" t="s">
        <v>370</v>
      </c>
      <c r="F115" t="s">
        <v>15</v>
      </c>
      <c r="G115" s="1">
        <v>9.9</v>
      </c>
      <c r="H115">
        <f t="shared" si="3"/>
        <v>4.95</v>
      </c>
      <c r="I115">
        <f t="shared" si="4"/>
        <v>7.9200000000000008</v>
      </c>
      <c r="J115">
        <f t="shared" si="5"/>
        <v>6.93</v>
      </c>
      <c r="L115">
        <v>20</v>
      </c>
      <c r="M115">
        <v>5</v>
      </c>
      <c r="N115" t="s">
        <v>16</v>
      </c>
      <c r="O115" t="s">
        <v>17</v>
      </c>
    </row>
    <row r="116" spans="3:15" ht="15.75" x14ac:dyDescent="0.25">
      <c r="C116" t="s">
        <v>143</v>
      </c>
      <c r="D116" t="s">
        <v>342</v>
      </c>
      <c r="E116" t="s">
        <v>371</v>
      </c>
      <c r="F116" t="s">
        <v>15</v>
      </c>
      <c r="G116" s="1">
        <v>8.9</v>
      </c>
      <c r="H116">
        <f t="shared" si="3"/>
        <v>4.45</v>
      </c>
      <c r="I116">
        <f t="shared" si="4"/>
        <v>7.120000000000001</v>
      </c>
      <c r="J116">
        <f t="shared" si="5"/>
        <v>6.2299999999999995</v>
      </c>
      <c r="L116">
        <v>20</v>
      </c>
      <c r="M116">
        <v>5</v>
      </c>
      <c r="N116" t="s">
        <v>16</v>
      </c>
      <c r="O116" t="s">
        <v>17</v>
      </c>
    </row>
    <row r="117" spans="3:15" ht="15.75" x14ac:dyDescent="0.25">
      <c r="C117" t="s">
        <v>144</v>
      </c>
      <c r="D117" t="s">
        <v>342</v>
      </c>
      <c r="E117" t="s">
        <v>371</v>
      </c>
      <c r="F117" t="s">
        <v>15</v>
      </c>
      <c r="G117" s="1">
        <v>8.9</v>
      </c>
      <c r="H117">
        <f t="shared" si="3"/>
        <v>4.45</v>
      </c>
      <c r="I117">
        <f t="shared" si="4"/>
        <v>7.120000000000001</v>
      </c>
      <c r="J117">
        <f t="shared" si="5"/>
        <v>6.2299999999999995</v>
      </c>
      <c r="L117">
        <v>20</v>
      </c>
      <c r="M117">
        <v>5</v>
      </c>
      <c r="N117" t="s">
        <v>16</v>
      </c>
      <c r="O117" t="s">
        <v>17</v>
      </c>
    </row>
    <row r="118" spans="3:15" ht="15.75" x14ac:dyDescent="0.25">
      <c r="C118" t="s">
        <v>145</v>
      </c>
      <c r="D118" t="s">
        <v>342</v>
      </c>
      <c r="E118" t="s">
        <v>18</v>
      </c>
      <c r="F118" t="s">
        <v>15</v>
      </c>
      <c r="G118" s="1">
        <v>8.9</v>
      </c>
      <c r="H118">
        <f t="shared" si="3"/>
        <v>4.45</v>
      </c>
      <c r="I118">
        <f t="shared" si="4"/>
        <v>7.120000000000001</v>
      </c>
      <c r="J118">
        <f t="shared" si="5"/>
        <v>6.2299999999999995</v>
      </c>
      <c r="L118">
        <v>20</v>
      </c>
      <c r="M118">
        <v>5</v>
      </c>
      <c r="N118" t="s">
        <v>16</v>
      </c>
      <c r="O118" t="s">
        <v>17</v>
      </c>
    </row>
    <row r="119" spans="3:15" ht="15.75" x14ac:dyDescent="0.25">
      <c r="C119" t="s">
        <v>146</v>
      </c>
      <c r="D119" t="s">
        <v>342</v>
      </c>
      <c r="E119" t="s">
        <v>372</v>
      </c>
      <c r="F119" t="s">
        <v>15</v>
      </c>
      <c r="G119" s="1">
        <v>49.9</v>
      </c>
      <c r="H119">
        <f t="shared" si="3"/>
        <v>24.95</v>
      </c>
      <c r="I119">
        <f t="shared" si="4"/>
        <v>39.92</v>
      </c>
      <c r="J119">
        <f t="shared" si="5"/>
        <v>34.93</v>
      </c>
      <c r="L119">
        <v>20</v>
      </c>
      <c r="M119">
        <v>5</v>
      </c>
      <c r="N119" t="s">
        <v>16</v>
      </c>
      <c r="O119" t="s">
        <v>17</v>
      </c>
    </row>
    <row r="120" spans="3:15" ht="15.75" x14ac:dyDescent="0.25">
      <c r="C120" t="s">
        <v>147</v>
      </c>
      <c r="D120" t="s">
        <v>342</v>
      </c>
      <c r="E120" t="s">
        <v>373</v>
      </c>
      <c r="F120" t="s">
        <v>15</v>
      </c>
      <c r="G120" s="1">
        <v>8.9</v>
      </c>
      <c r="H120">
        <f t="shared" si="3"/>
        <v>4.45</v>
      </c>
      <c r="I120">
        <f t="shared" si="4"/>
        <v>7.120000000000001</v>
      </c>
      <c r="J120">
        <f t="shared" si="5"/>
        <v>6.2299999999999995</v>
      </c>
      <c r="L120">
        <v>20</v>
      </c>
      <c r="M120">
        <v>5</v>
      </c>
      <c r="N120" t="s">
        <v>16</v>
      </c>
      <c r="O120" t="s">
        <v>17</v>
      </c>
    </row>
    <row r="121" spans="3:15" ht="15.75" x14ac:dyDescent="0.25">
      <c r="C121" t="s">
        <v>148</v>
      </c>
      <c r="D121" t="s">
        <v>342</v>
      </c>
      <c r="E121" t="s">
        <v>373</v>
      </c>
      <c r="F121" t="s">
        <v>15</v>
      </c>
      <c r="G121" s="1">
        <v>8.9</v>
      </c>
      <c r="H121">
        <f t="shared" si="3"/>
        <v>4.45</v>
      </c>
      <c r="I121">
        <f t="shared" si="4"/>
        <v>7.120000000000001</v>
      </c>
      <c r="J121">
        <f t="shared" si="5"/>
        <v>6.2299999999999995</v>
      </c>
      <c r="L121">
        <v>20</v>
      </c>
      <c r="M121">
        <v>5</v>
      </c>
      <c r="N121" t="s">
        <v>16</v>
      </c>
      <c r="O121" t="s">
        <v>17</v>
      </c>
    </row>
    <row r="122" spans="3:15" ht="15.75" x14ac:dyDescent="0.25">
      <c r="C122" t="s">
        <v>149</v>
      </c>
      <c r="D122" t="s">
        <v>342</v>
      </c>
      <c r="E122" t="s">
        <v>374</v>
      </c>
      <c r="F122" t="s">
        <v>15</v>
      </c>
      <c r="G122" s="1">
        <v>49.9</v>
      </c>
      <c r="H122">
        <f t="shared" si="3"/>
        <v>24.95</v>
      </c>
      <c r="I122">
        <f t="shared" si="4"/>
        <v>39.92</v>
      </c>
      <c r="J122">
        <f t="shared" si="5"/>
        <v>34.93</v>
      </c>
      <c r="L122">
        <v>20</v>
      </c>
      <c r="M122">
        <v>5</v>
      </c>
      <c r="N122" t="s">
        <v>16</v>
      </c>
      <c r="O122" t="s">
        <v>17</v>
      </c>
    </row>
    <row r="123" spans="3:15" ht="15.75" x14ac:dyDescent="0.25">
      <c r="C123" t="s">
        <v>150</v>
      </c>
      <c r="D123" t="s">
        <v>342</v>
      </c>
      <c r="E123" t="s">
        <v>375</v>
      </c>
      <c r="F123" t="s">
        <v>15</v>
      </c>
      <c r="G123" s="1">
        <v>35.9</v>
      </c>
      <c r="H123">
        <f t="shared" si="3"/>
        <v>17.95</v>
      </c>
      <c r="I123">
        <f t="shared" si="4"/>
        <v>28.72</v>
      </c>
      <c r="J123">
        <f t="shared" si="5"/>
        <v>25.13</v>
      </c>
      <c r="L123">
        <v>20</v>
      </c>
      <c r="M123">
        <v>5</v>
      </c>
      <c r="N123" t="s">
        <v>16</v>
      </c>
      <c r="O123" t="s">
        <v>17</v>
      </c>
    </row>
    <row r="124" spans="3:15" ht="15.75" x14ac:dyDescent="0.25">
      <c r="C124" t="s">
        <v>151</v>
      </c>
      <c r="D124" t="s">
        <v>342</v>
      </c>
      <c r="E124" t="s">
        <v>18</v>
      </c>
      <c r="F124" t="s">
        <v>15</v>
      </c>
      <c r="G124" s="1">
        <v>22</v>
      </c>
      <c r="H124">
        <f t="shared" si="3"/>
        <v>11</v>
      </c>
      <c r="I124">
        <f t="shared" si="4"/>
        <v>17.600000000000001</v>
      </c>
      <c r="J124">
        <f t="shared" si="5"/>
        <v>15.399999999999999</v>
      </c>
      <c r="L124">
        <v>20</v>
      </c>
      <c r="M124">
        <v>5</v>
      </c>
      <c r="N124" t="s">
        <v>16</v>
      </c>
      <c r="O124" t="s">
        <v>17</v>
      </c>
    </row>
    <row r="125" spans="3:15" ht="15.75" x14ac:dyDescent="0.25">
      <c r="C125" t="s">
        <v>152</v>
      </c>
      <c r="D125" t="s">
        <v>342</v>
      </c>
      <c r="E125" t="s">
        <v>18</v>
      </c>
      <c r="F125" t="s">
        <v>15</v>
      </c>
      <c r="G125" s="1">
        <v>6.9</v>
      </c>
      <c r="H125">
        <f t="shared" si="3"/>
        <v>3.45</v>
      </c>
      <c r="I125">
        <f t="shared" si="4"/>
        <v>5.5200000000000005</v>
      </c>
      <c r="J125">
        <f t="shared" si="5"/>
        <v>4.83</v>
      </c>
      <c r="L125">
        <v>20</v>
      </c>
      <c r="M125">
        <v>5</v>
      </c>
      <c r="N125" t="s">
        <v>16</v>
      </c>
      <c r="O125" t="s">
        <v>17</v>
      </c>
    </row>
    <row r="126" spans="3:15" ht="15.75" x14ac:dyDescent="0.25">
      <c r="C126" t="s">
        <v>153</v>
      </c>
      <c r="D126" t="s">
        <v>339</v>
      </c>
      <c r="E126" t="s">
        <v>376</v>
      </c>
      <c r="F126" t="s">
        <v>15</v>
      </c>
      <c r="G126" s="1">
        <v>5.9</v>
      </c>
      <c r="H126">
        <f t="shared" si="3"/>
        <v>2.95</v>
      </c>
      <c r="I126">
        <f t="shared" si="4"/>
        <v>4.7200000000000006</v>
      </c>
      <c r="J126">
        <f t="shared" si="5"/>
        <v>4.13</v>
      </c>
      <c r="L126">
        <v>20</v>
      </c>
      <c r="M126">
        <v>5</v>
      </c>
      <c r="N126" t="s">
        <v>16</v>
      </c>
      <c r="O126" t="s">
        <v>17</v>
      </c>
    </row>
    <row r="127" spans="3:15" ht="15.75" x14ac:dyDescent="0.25">
      <c r="C127" t="s">
        <v>154</v>
      </c>
      <c r="D127" t="s">
        <v>339</v>
      </c>
      <c r="E127" t="s">
        <v>18</v>
      </c>
      <c r="F127" t="s">
        <v>15</v>
      </c>
      <c r="G127" s="1">
        <v>59</v>
      </c>
      <c r="H127">
        <f t="shared" si="3"/>
        <v>29.5</v>
      </c>
      <c r="I127">
        <f t="shared" si="4"/>
        <v>47.2</v>
      </c>
      <c r="J127">
        <f t="shared" si="5"/>
        <v>41.3</v>
      </c>
      <c r="L127">
        <v>20</v>
      </c>
      <c r="M127">
        <v>5</v>
      </c>
      <c r="N127" t="s">
        <v>16</v>
      </c>
      <c r="O127" t="s">
        <v>17</v>
      </c>
    </row>
    <row r="128" spans="3:15" ht="15.75" x14ac:dyDescent="0.25">
      <c r="C128" t="s">
        <v>155</v>
      </c>
      <c r="D128" t="s">
        <v>339</v>
      </c>
      <c r="E128" t="s">
        <v>18</v>
      </c>
      <c r="F128" t="s">
        <v>15</v>
      </c>
      <c r="G128" s="1">
        <v>99</v>
      </c>
      <c r="H128">
        <f t="shared" si="3"/>
        <v>49.5</v>
      </c>
      <c r="I128">
        <f t="shared" si="4"/>
        <v>79.2</v>
      </c>
      <c r="J128">
        <f t="shared" si="5"/>
        <v>69.3</v>
      </c>
      <c r="L128">
        <v>20</v>
      </c>
      <c r="M128">
        <v>5</v>
      </c>
      <c r="N128" t="s">
        <v>16</v>
      </c>
      <c r="O128" t="s">
        <v>17</v>
      </c>
    </row>
    <row r="129" spans="3:15" ht="15.75" x14ac:dyDescent="0.25">
      <c r="C129" t="s">
        <v>156</v>
      </c>
      <c r="D129" t="s">
        <v>339</v>
      </c>
      <c r="E129" t="s">
        <v>377</v>
      </c>
      <c r="F129" t="s">
        <v>15</v>
      </c>
      <c r="G129" s="1">
        <v>59</v>
      </c>
      <c r="H129">
        <f t="shared" si="3"/>
        <v>29.5</v>
      </c>
      <c r="I129">
        <f t="shared" si="4"/>
        <v>47.2</v>
      </c>
      <c r="J129">
        <f t="shared" si="5"/>
        <v>41.3</v>
      </c>
      <c r="L129">
        <v>20</v>
      </c>
      <c r="M129">
        <v>5</v>
      </c>
      <c r="N129" t="s">
        <v>16</v>
      </c>
      <c r="O129" t="s">
        <v>17</v>
      </c>
    </row>
    <row r="130" spans="3:15" ht="15.75" x14ac:dyDescent="0.25">
      <c r="C130" t="s">
        <v>157</v>
      </c>
      <c r="D130" t="s">
        <v>339</v>
      </c>
      <c r="E130" t="s">
        <v>378</v>
      </c>
      <c r="F130" t="s">
        <v>15</v>
      </c>
      <c r="G130" s="1">
        <v>89</v>
      </c>
      <c r="H130">
        <f t="shared" si="3"/>
        <v>44.5</v>
      </c>
      <c r="I130">
        <f t="shared" si="4"/>
        <v>71.2</v>
      </c>
      <c r="J130">
        <f t="shared" si="5"/>
        <v>62.3</v>
      </c>
      <c r="L130">
        <v>20</v>
      </c>
      <c r="M130">
        <v>5</v>
      </c>
      <c r="N130" t="s">
        <v>16</v>
      </c>
      <c r="O130" t="s">
        <v>17</v>
      </c>
    </row>
    <row r="131" spans="3:15" ht="15.75" x14ac:dyDescent="0.25">
      <c r="C131" t="s">
        <v>158</v>
      </c>
      <c r="D131" t="s">
        <v>339</v>
      </c>
      <c r="E131" t="s">
        <v>379</v>
      </c>
      <c r="F131" t="s">
        <v>15</v>
      </c>
      <c r="G131" s="1">
        <v>89</v>
      </c>
      <c r="H131">
        <f t="shared" ref="H131:H194" si="6">G131*0.5</f>
        <v>44.5</v>
      </c>
      <c r="I131">
        <f t="shared" ref="I131:I194" si="7">G131*0.8</f>
        <v>71.2</v>
      </c>
      <c r="J131">
        <f t="shared" ref="J131:J194" si="8">G131*0.7</f>
        <v>62.3</v>
      </c>
      <c r="L131">
        <v>20</v>
      </c>
      <c r="M131">
        <v>5</v>
      </c>
      <c r="N131" t="s">
        <v>16</v>
      </c>
      <c r="O131" t="s">
        <v>17</v>
      </c>
    </row>
    <row r="132" spans="3:15" ht="15.75" x14ac:dyDescent="0.25">
      <c r="C132" t="s">
        <v>159</v>
      </c>
      <c r="D132" t="s">
        <v>339</v>
      </c>
      <c r="E132" t="s">
        <v>380</v>
      </c>
      <c r="F132" t="s">
        <v>15</v>
      </c>
      <c r="G132" s="1">
        <v>49</v>
      </c>
      <c r="H132">
        <f t="shared" si="6"/>
        <v>24.5</v>
      </c>
      <c r="I132">
        <f t="shared" si="7"/>
        <v>39.200000000000003</v>
      </c>
      <c r="J132">
        <f t="shared" si="8"/>
        <v>34.299999999999997</v>
      </c>
      <c r="L132">
        <v>20</v>
      </c>
      <c r="M132">
        <v>5</v>
      </c>
      <c r="N132" t="s">
        <v>16</v>
      </c>
      <c r="O132" t="s">
        <v>17</v>
      </c>
    </row>
    <row r="133" spans="3:15" ht="15.75" x14ac:dyDescent="0.25">
      <c r="C133" t="s">
        <v>160</v>
      </c>
      <c r="D133" t="s">
        <v>339</v>
      </c>
      <c r="E133" t="s">
        <v>381</v>
      </c>
      <c r="F133" t="s">
        <v>15</v>
      </c>
      <c r="G133" s="1">
        <v>39.9</v>
      </c>
      <c r="H133">
        <f t="shared" si="6"/>
        <v>19.95</v>
      </c>
      <c r="I133">
        <f t="shared" si="7"/>
        <v>31.92</v>
      </c>
      <c r="J133">
        <f t="shared" si="8"/>
        <v>27.929999999999996</v>
      </c>
      <c r="L133">
        <v>20</v>
      </c>
      <c r="M133">
        <v>5</v>
      </c>
      <c r="N133" t="s">
        <v>16</v>
      </c>
      <c r="O133" t="s">
        <v>17</v>
      </c>
    </row>
    <row r="134" spans="3:15" ht="15.75" x14ac:dyDescent="0.25">
      <c r="C134" t="s">
        <v>161</v>
      </c>
      <c r="D134" t="s">
        <v>339</v>
      </c>
      <c r="E134" t="s">
        <v>382</v>
      </c>
      <c r="F134" t="s">
        <v>15</v>
      </c>
      <c r="G134" s="1">
        <v>59</v>
      </c>
      <c r="H134">
        <f t="shared" si="6"/>
        <v>29.5</v>
      </c>
      <c r="I134">
        <f t="shared" si="7"/>
        <v>47.2</v>
      </c>
      <c r="J134">
        <f t="shared" si="8"/>
        <v>41.3</v>
      </c>
      <c r="L134">
        <v>20</v>
      </c>
      <c r="M134">
        <v>5</v>
      </c>
      <c r="N134" t="s">
        <v>16</v>
      </c>
      <c r="O134" t="s">
        <v>17</v>
      </c>
    </row>
    <row r="135" spans="3:15" ht="15.75" x14ac:dyDescent="0.25">
      <c r="C135" t="s">
        <v>162</v>
      </c>
      <c r="D135" t="s">
        <v>339</v>
      </c>
      <c r="E135" t="s">
        <v>383</v>
      </c>
      <c r="F135" t="s">
        <v>15</v>
      </c>
      <c r="G135" s="1">
        <v>42</v>
      </c>
      <c r="H135">
        <f t="shared" si="6"/>
        <v>21</v>
      </c>
      <c r="I135">
        <f t="shared" si="7"/>
        <v>33.6</v>
      </c>
      <c r="J135">
        <f t="shared" si="8"/>
        <v>29.4</v>
      </c>
      <c r="L135">
        <v>20</v>
      </c>
      <c r="M135">
        <v>5</v>
      </c>
      <c r="N135" t="s">
        <v>16</v>
      </c>
      <c r="O135" t="s">
        <v>17</v>
      </c>
    </row>
    <row r="136" spans="3:15" ht="15.75" x14ac:dyDescent="0.25">
      <c r="C136" t="s">
        <v>163</v>
      </c>
      <c r="D136" t="s">
        <v>339</v>
      </c>
      <c r="E136" t="s">
        <v>384</v>
      </c>
      <c r="F136" t="s">
        <v>15</v>
      </c>
      <c r="G136" s="1">
        <v>79.900000000000006</v>
      </c>
      <c r="H136">
        <f t="shared" si="6"/>
        <v>39.950000000000003</v>
      </c>
      <c r="I136">
        <f t="shared" si="7"/>
        <v>63.920000000000009</v>
      </c>
      <c r="J136">
        <f t="shared" si="8"/>
        <v>55.93</v>
      </c>
      <c r="L136">
        <v>20</v>
      </c>
      <c r="M136">
        <v>5</v>
      </c>
      <c r="N136" t="s">
        <v>16</v>
      </c>
      <c r="O136" t="s">
        <v>17</v>
      </c>
    </row>
    <row r="137" spans="3:15" ht="15.75" x14ac:dyDescent="0.25">
      <c r="C137" t="s">
        <v>164</v>
      </c>
      <c r="D137" t="s">
        <v>339</v>
      </c>
      <c r="E137" t="s">
        <v>376</v>
      </c>
      <c r="F137" t="s">
        <v>15</v>
      </c>
      <c r="G137" s="1">
        <v>5.9</v>
      </c>
      <c r="H137">
        <f t="shared" si="6"/>
        <v>2.95</v>
      </c>
      <c r="I137">
        <f t="shared" si="7"/>
        <v>4.7200000000000006</v>
      </c>
      <c r="J137">
        <f t="shared" si="8"/>
        <v>4.13</v>
      </c>
      <c r="L137">
        <v>20</v>
      </c>
      <c r="M137">
        <v>5</v>
      </c>
      <c r="N137" t="s">
        <v>16</v>
      </c>
      <c r="O137" t="s">
        <v>17</v>
      </c>
    </row>
    <row r="138" spans="3:15" ht="15.75" x14ac:dyDescent="0.25">
      <c r="C138" t="s">
        <v>165</v>
      </c>
      <c r="D138" t="s">
        <v>339</v>
      </c>
      <c r="E138" t="s">
        <v>385</v>
      </c>
      <c r="F138" t="s">
        <v>15</v>
      </c>
      <c r="G138" s="1">
        <v>2.5</v>
      </c>
      <c r="H138">
        <f t="shared" si="6"/>
        <v>1.25</v>
      </c>
      <c r="I138">
        <f t="shared" si="7"/>
        <v>2</v>
      </c>
      <c r="J138">
        <f t="shared" si="8"/>
        <v>1.75</v>
      </c>
      <c r="L138">
        <v>20</v>
      </c>
      <c r="M138">
        <v>5</v>
      </c>
      <c r="N138" t="s">
        <v>16</v>
      </c>
      <c r="O138" t="s">
        <v>17</v>
      </c>
    </row>
    <row r="139" spans="3:15" ht="15.75" x14ac:dyDescent="0.25">
      <c r="C139" t="s">
        <v>166</v>
      </c>
      <c r="D139" t="s">
        <v>339</v>
      </c>
      <c r="E139" t="s">
        <v>386</v>
      </c>
      <c r="F139" t="s">
        <v>15</v>
      </c>
      <c r="G139" s="1">
        <v>69</v>
      </c>
      <c r="H139">
        <f t="shared" si="6"/>
        <v>34.5</v>
      </c>
      <c r="I139">
        <f t="shared" si="7"/>
        <v>55.2</v>
      </c>
      <c r="J139">
        <f t="shared" si="8"/>
        <v>48.3</v>
      </c>
      <c r="L139">
        <v>20</v>
      </c>
      <c r="M139">
        <v>5</v>
      </c>
      <c r="N139" t="s">
        <v>16</v>
      </c>
      <c r="O139" t="s">
        <v>17</v>
      </c>
    </row>
    <row r="140" spans="3:15" ht="15.75" x14ac:dyDescent="0.25">
      <c r="C140" t="s">
        <v>167</v>
      </c>
      <c r="D140" t="s">
        <v>339</v>
      </c>
      <c r="E140" t="s">
        <v>387</v>
      </c>
      <c r="F140" t="s">
        <v>15</v>
      </c>
      <c r="G140" s="1">
        <v>25</v>
      </c>
      <c r="H140">
        <f t="shared" si="6"/>
        <v>12.5</v>
      </c>
      <c r="I140">
        <f t="shared" si="7"/>
        <v>20</v>
      </c>
      <c r="J140">
        <f t="shared" si="8"/>
        <v>17.5</v>
      </c>
      <c r="L140">
        <v>20</v>
      </c>
      <c r="M140">
        <v>5</v>
      </c>
      <c r="N140" t="s">
        <v>16</v>
      </c>
      <c r="O140" t="s">
        <v>17</v>
      </c>
    </row>
    <row r="141" spans="3:15" ht="15.75" x14ac:dyDescent="0.25">
      <c r="C141" t="s">
        <v>168</v>
      </c>
      <c r="D141" t="s">
        <v>339</v>
      </c>
      <c r="E141" t="s">
        <v>388</v>
      </c>
      <c r="F141" t="s">
        <v>15</v>
      </c>
      <c r="G141" s="1">
        <v>23.9</v>
      </c>
      <c r="H141">
        <f t="shared" si="6"/>
        <v>11.95</v>
      </c>
      <c r="I141">
        <f t="shared" si="7"/>
        <v>19.12</v>
      </c>
      <c r="J141">
        <f t="shared" si="8"/>
        <v>16.729999999999997</v>
      </c>
      <c r="L141">
        <v>20</v>
      </c>
      <c r="M141">
        <v>5</v>
      </c>
      <c r="N141" t="s">
        <v>16</v>
      </c>
      <c r="O141" t="s">
        <v>17</v>
      </c>
    </row>
    <row r="142" spans="3:15" ht="15.75" x14ac:dyDescent="0.25">
      <c r="C142" t="s">
        <v>169</v>
      </c>
      <c r="D142" t="s">
        <v>339</v>
      </c>
      <c r="E142" t="s">
        <v>389</v>
      </c>
      <c r="F142" t="s">
        <v>15</v>
      </c>
      <c r="G142" s="1">
        <v>35</v>
      </c>
      <c r="H142">
        <f t="shared" si="6"/>
        <v>17.5</v>
      </c>
      <c r="I142">
        <f t="shared" si="7"/>
        <v>28</v>
      </c>
      <c r="J142">
        <f t="shared" si="8"/>
        <v>24.5</v>
      </c>
      <c r="L142">
        <v>20</v>
      </c>
      <c r="M142">
        <v>5</v>
      </c>
      <c r="N142" t="s">
        <v>16</v>
      </c>
      <c r="O142" t="s">
        <v>17</v>
      </c>
    </row>
    <row r="143" spans="3:15" ht="15.75" x14ac:dyDescent="0.25">
      <c r="C143" t="s">
        <v>170</v>
      </c>
      <c r="D143" t="s">
        <v>339</v>
      </c>
      <c r="E143" t="s">
        <v>390</v>
      </c>
      <c r="F143" t="s">
        <v>15</v>
      </c>
      <c r="G143" s="1">
        <v>2.5</v>
      </c>
      <c r="H143">
        <f t="shared" si="6"/>
        <v>1.25</v>
      </c>
      <c r="I143">
        <f t="shared" si="7"/>
        <v>2</v>
      </c>
      <c r="J143">
        <f t="shared" si="8"/>
        <v>1.75</v>
      </c>
      <c r="L143">
        <v>20</v>
      </c>
      <c r="M143">
        <v>5</v>
      </c>
      <c r="N143" t="s">
        <v>16</v>
      </c>
      <c r="O143" t="s">
        <v>17</v>
      </c>
    </row>
    <row r="144" spans="3:15" ht="15.75" x14ac:dyDescent="0.25">
      <c r="C144" t="s">
        <v>171</v>
      </c>
      <c r="D144" t="s">
        <v>339</v>
      </c>
      <c r="E144" t="s">
        <v>391</v>
      </c>
      <c r="F144" t="s">
        <v>15</v>
      </c>
      <c r="G144" s="1">
        <v>149</v>
      </c>
      <c r="H144">
        <f t="shared" si="6"/>
        <v>74.5</v>
      </c>
      <c r="I144">
        <f t="shared" si="7"/>
        <v>119.2</v>
      </c>
      <c r="J144">
        <f t="shared" si="8"/>
        <v>104.3</v>
      </c>
      <c r="L144">
        <v>20</v>
      </c>
      <c r="M144">
        <v>5</v>
      </c>
      <c r="N144" t="s">
        <v>16</v>
      </c>
      <c r="O144" t="s">
        <v>17</v>
      </c>
    </row>
    <row r="145" spans="3:15" ht="15.75" x14ac:dyDescent="0.25">
      <c r="C145" t="s">
        <v>172</v>
      </c>
      <c r="D145" t="s">
        <v>339</v>
      </c>
      <c r="E145" t="s">
        <v>392</v>
      </c>
      <c r="F145" t="s">
        <v>15</v>
      </c>
      <c r="G145" s="1">
        <v>29</v>
      </c>
      <c r="H145">
        <f t="shared" si="6"/>
        <v>14.5</v>
      </c>
      <c r="I145">
        <f t="shared" si="7"/>
        <v>23.200000000000003</v>
      </c>
      <c r="J145">
        <f t="shared" si="8"/>
        <v>20.299999999999997</v>
      </c>
      <c r="L145">
        <v>20</v>
      </c>
      <c r="M145">
        <v>5</v>
      </c>
      <c r="N145" t="s">
        <v>16</v>
      </c>
      <c r="O145" t="s">
        <v>17</v>
      </c>
    </row>
    <row r="146" spans="3:15" ht="15.75" x14ac:dyDescent="0.25">
      <c r="C146" t="s">
        <v>173</v>
      </c>
      <c r="D146" t="s">
        <v>339</v>
      </c>
      <c r="E146" t="s">
        <v>393</v>
      </c>
      <c r="F146" t="s">
        <v>15</v>
      </c>
      <c r="G146" s="1">
        <v>79</v>
      </c>
      <c r="H146">
        <f t="shared" si="6"/>
        <v>39.5</v>
      </c>
      <c r="I146">
        <f t="shared" si="7"/>
        <v>63.2</v>
      </c>
      <c r="J146">
        <f t="shared" si="8"/>
        <v>55.3</v>
      </c>
      <c r="L146">
        <v>20</v>
      </c>
      <c r="M146">
        <v>5</v>
      </c>
      <c r="N146" t="s">
        <v>16</v>
      </c>
      <c r="O146" t="s">
        <v>17</v>
      </c>
    </row>
    <row r="147" spans="3:15" ht="15.75" x14ac:dyDescent="0.25">
      <c r="C147" t="s">
        <v>174</v>
      </c>
      <c r="D147" t="s">
        <v>339</v>
      </c>
      <c r="E147" t="s">
        <v>394</v>
      </c>
      <c r="F147" t="s">
        <v>15</v>
      </c>
      <c r="G147" s="1">
        <v>99</v>
      </c>
      <c r="H147">
        <f t="shared" si="6"/>
        <v>49.5</v>
      </c>
      <c r="I147">
        <f t="shared" si="7"/>
        <v>79.2</v>
      </c>
      <c r="J147">
        <f t="shared" si="8"/>
        <v>69.3</v>
      </c>
      <c r="L147">
        <v>20</v>
      </c>
      <c r="M147">
        <v>5</v>
      </c>
      <c r="N147" t="s">
        <v>16</v>
      </c>
      <c r="O147" t="s">
        <v>17</v>
      </c>
    </row>
    <row r="148" spans="3:15" ht="15.75" x14ac:dyDescent="0.25">
      <c r="C148" t="s">
        <v>175</v>
      </c>
      <c r="D148" t="s">
        <v>339</v>
      </c>
      <c r="E148" t="s">
        <v>395</v>
      </c>
      <c r="F148" t="s">
        <v>15</v>
      </c>
      <c r="G148" s="1">
        <v>29</v>
      </c>
      <c r="H148">
        <f t="shared" si="6"/>
        <v>14.5</v>
      </c>
      <c r="I148">
        <f t="shared" si="7"/>
        <v>23.200000000000003</v>
      </c>
      <c r="J148">
        <f t="shared" si="8"/>
        <v>20.299999999999997</v>
      </c>
      <c r="L148">
        <v>20</v>
      </c>
      <c r="M148">
        <v>5</v>
      </c>
      <c r="N148" t="s">
        <v>16</v>
      </c>
      <c r="O148" t="s">
        <v>17</v>
      </c>
    </row>
    <row r="149" spans="3:15" ht="15.75" x14ac:dyDescent="0.25">
      <c r="C149" t="s">
        <v>176</v>
      </c>
      <c r="D149" t="s">
        <v>339</v>
      </c>
      <c r="E149" t="s">
        <v>396</v>
      </c>
      <c r="F149" t="s">
        <v>15</v>
      </c>
      <c r="G149" s="1">
        <v>89</v>
      </c>
      <c r="H149">
        <f t="shared" si="6"/>
        <v>44.5</v>
      </c>
      <c r="I149">
        <f t="shared" si="7"/>
        <v>71.2</v>
      </c>
      <c r="J149">
        <f t="shared" si="8"/>
        <v>62.3</v>
      </c>
      <c r="L149">
        <v>20</v>
      </c>
      <c r="M149">
        <v>5</v>
      </c>
      <c r="N149" t="s">
        <v>16</v>
      </c>
      <c r="O149" t="s">
        <v>17</v>
      </c>
    </row>
    <row r="150" spans="3:15" ht="15.75" x14ac:dyDescent="0.25">
      <c r="C150" t="s">
        <v>177</v>
      </c>
      <c r="D150" t="s">
        <v>339</v>
      </c>
      <c r="E150" t="s">
        <v>397</v>
      </c>
      <c r="F150" t="s">
        <v>15</v>
      </c>
      <c r="G150" s="1">
        <v>99</v>
      </c>
      <c r="H150">
        <f t="shared" si="6"/>
        <v>49.5</v>
      </c>
      <c r="I150">
        <f t="shared" si="7"/>
        <v>79.2</v>
      </c>
      <c r="J150">
        <f t="shared" si="8"/>
        <v>69.3</v>
      </c>
      <c r="L150">
        <v>20</v>
      </c>
      <c r="M150">
        <v>5</v>
      </c>
      <c r="N150" t="s">
        <v>16</v>
      </c>
      <c r="O150" t="s">
        <v>17</v>
      </c>
    </row>
    <row r="151" spans="3:15" ht="15.75" x14ac:dyDescent="0.25">
      <c r="C151" t="s">
        <v>178</v>
      </c>
      <c r="D151" t="s">
        <v>339</v>
      </c>
      <c r="E151" t="s">
        <v>398</v>
      </c>
      <c r="F151" t="s">
        <v>15</v>
      </c>
      <c r="G151" s="1">
        <v>39</v>
      </c>
      <c r="H151">
        <f t="shared" si="6"/>
        <v>19.5</v>
      </c>
      <c r="I151">
        <f t="shared" si="7"/>
        <v>31.200000000000003</v>
      </c>
      <c r="J151">
        <f t="shared" si="8"/>
        <v>27.299999999999997</v>
      </c>
      <c r="L151">
        <v>20</v>
      </c>
      <c r="M151">
        <v>5</v>
      </c>
      <c r="N151" t="s">
        <v>16</v>
      </c>
      <c r="O151" t="s">
        <v>17</v>
      </c>
    </row>
    <row r="152" spans="3:15" ht="15.75" x14ac:dyDescent="0.25">
      <c r="C152" t="s">
        <v>179</v>
      </c>
      <c r="D152" t="s">
        <v>339</v>
      </c>
      <c r="E152" t="s">
        <v>399</v>
      </c>
      <c r="F152" t="s">
        <v>15</v>
      </c>
      <c r="G152" s="1">
        <v>98</v>
      </c>
      <c r="H152">
        <f t="shared" si="6"/>
        <v>49</v>
      </c>
      <c r="I152">
        <f t="shared" si="7"/>
        <v>78.400000000000006</v>
      </c>
      <c r="J152">
        <f t="shared" si="8"/>
        <v>68.599999999999994</v>
      </c>
      <c r="L152">
        <v>20</v>
      </c>
      <c r="M152">
        <v>5</v>
      </c>
      <c r="N152" t="s">
        <v>16</v>
      </c>
      <c r="O152" t="s">
        <v>17</v>
      </c>
    </row>
    <row r="153" spans="3:15" ht="15.75" x14ac:dyDescent="0.25">
      <c r="C153" t="s">
        <v>180</v>
      </c>
      <c r="D153" t="s">
        <v>339</v>
      </c>
      <c r="E153" t="s">
        <v>400</v>
      </c>
      <c r="F153" t="s">
        <v>15</v>
      </c>
      <c r="G153" s="1">
        <v>15.9</v>
      </c>
      <c r="H153">
        <f t="shared" si="6"/>
        <v>7.95</v>
      </c>
      <c r="I153">
        <f t="shared" si="7"/>
        <v>12.72</v>
      </c>
      <c r="J153">
        <f t="shared" si="8"/>
        <v>11.129999999999999</v>
      </c>
      <c r="L153">
        <v>20</v>
      </c>
      <c r="M153">
        <v>5</v>
      </c>
      <c r="N153" t="s">
        <v>16</v>
      </c>
      <c r="O153" t="s">
        <v>17</v>
      </c>
    </row>
    <row r="154" spans="3:15" ht="15.75" x14ac:dyDescent="0.25">
      <c r="C154" t="s">
        <v>181</v>
      </c>
      <c r="D154" t="s">
        <v>339</v>
      </c>
      <c r="E154" t="s">
        <v>401</v>
      </c>
      <c r="F154" t="s">
        <v>15</v>
      </c>
      <c r="G154" s="1">
        <v>25</v>
      </c>
      <c r="H154">
        <f t="shared" si="6"/>
        <v>12.5</v>
      </c>
      <c r="I154">
        <f t="shared" si="7"/>
        <v>20</v>
      </c>
      <c r="J154">
        <f t="shared" si="8"/>
        <v>17.5</v>
      </c>
      <c r="L154">
        <v>20</v>
      </c>
      <c r="M154">
        <v>5</v>
      </c>
      <c r="N154" t="s">
        <v>16</v>
      </c>
      <c r="O154" t="s">
        <v>17</v>
      </c>
    </row>
    <row r="155" spans="3:15" ht="15.75" x14ac:dyDescent="0.25">
      <c r="C155" t="s">
        <v>182</v>
      </c>
      <c r="D155" t="s">
        <v>339</v>
      </c>
      <c r="E155" t="s">
        <v>402</v>
      </c>
      <c r="F155" t="s">
        <v>15</v>
      </c>
      <c r="G155" s="1">
        <v>29.9</v>
      </c>
      <c r="H155">
        <f t="shared" si="6"/>
        <v>14.95</v>
      </c>
      <c r="I155">
        <f t="shared" si="7"/>
        <v>23.92</v>
      </c>
      <c r="J155">
        <f t="shared" si="8"/>
        <v>20.929999999999996</v>
      </c>
      <c r="L155">
        <v>20</v>
      </c>
      <c r="M155">
        <v>5</v>
      </c>
      <c r="N155" t="s">
        <v>16</v>
      </c>
      <c r="O155" t="s">
        <v>17</v>
      </c>
    </row>
    <row r="156" spans="3:15" ht="15.75" x14ac:dyDescent="0.25">
      <c r="C156" t="s">
        <v>183</v>
      </c>
      <c r="D156" t="s">
        <v>339</v>
      </c>
      <c r="E156" t="s">
        <v>403</v>
      </c>
      <c r="F156" t="s">
        <v>15</v>
      </c>
      <c r="G156" s="1">
        <v>23.9</v>
      </c>
      <c r="H156">
        <f t="shared" si="6"/>
        <v>11.95</v>
      </c>
      <c r="I156">
        <f t="shared" si="7"/>
        <v>19.12</v>
      </c>
      <c r="J156">
        <f t="shared" si="8"/>
        <v>16.729999999999997</v>
      </c>
      <c r="L156">
        <v>20</v>
      </c>
      <c r="M156">
        <v>5</v>
      </c>
      <c r="N156" t="s">
        <v>16</v>
      </c>
      <c r="O156" t="s">
        <v>17</v>
      </c>
    </row>
    <row r="157" spans="3:15" ht="15.75" x14ac:dyDescent="0.25">
      <c r="C157" t="s">
        <v>184</v>
      </c>
      <c r="D157" t="s">
        <v>339</v>
      </c>
      <c r="E157" t="s">
        <v>404</v>
      </c>
      <c r="F157" t="s">
        <v>15</v>
      </c>
      <c r="G157" s="1">
        <v>8.9</v>
      </c>
      <c r="H157">
        <f t="shared" si="6"/>
        <v>4.45</v>
      </c>
      <c r="I157">
        <f t="shared" si="7"/>
        <v>7.120000000000001</v>
      </c>
      <c r="J157">
        <f t="shared" si="8"/>
        <v>6.2299999999999995</v>
      </c>
      <c r="L157">
        <v>20</v>
      </c>
      <c r="M157">
        <v>5</v>
      </c>
      <c r="N157" t="s">
        <v>16</v>
      </c>
      <c r="O157" t="s">
        <v>17</v>
      </c>
    </row>
    <row r="158" spans="3:15" ht="15.75" x14ac:dyDescent="0.25">
      <c r="C158" t="s">
        <v>185</v>
      </c>
      <c r="D158" t="s">
        <v>339</v>
      </c>
      <c r="E158" t="s">
        <v>405</v>
      </c>
      <c r="F158" t="s">
        <v>15</v>
      </c>
      <c r="G158" s="1">
        <v>13.9</v>
      </c>
      <c r="H158">
        <f t="shared" si="6"/>
        <v>6.95</v>
      </c>
      <c r="I158">
        <f t="shared" si="7"/>
        <v>11.120000000000001</v>
      </c>
      <c r="J158">
        <f t="shared" si="8"/>
        <v>9.73</v>
      </c>
      <c r="L158">
        <v>20</v>
      </c>
      <c r="M158">
        <v>5</v>
      </c>
      <c r="N158" t="s">
        <v>16</v>
      </c>
      <c r="O158" t="s">
        <v>17</v>
      </c>
    </row>
    <row r="159" spans="3:15" ht="15.75" x14ac:dyDescent="0.25">
      <c r="C159" t="s">
        <v>186</v>
      </c>
      <c r="D159" t="s">
        <v>339</v>
      </c>
      <c r="E159" t="s">
        <v>406</v>
      </c>
      <c r="F159" t="s">
        <v>15</v>
      </c>
      <c r="G159" s="1">
        <v>10.9</v>
      </c>
      <c r="H159">
        <f t="shared" si="6"/>
        <v>5.45</v>
      </c>
      <c r="I159">
        <f t="shared" si="7"/>
        <v>8.7200000000000006</v>
      </c>
      <c r="J159">
        <f t="shared" si="8"/>
        <v>7.63</v>
      </c>
      <c r="L159">
        <v>20</v>
      </c>
      <c r="M159">
        <v>5</v>
      </c>
      <c r="N159" t="s">
        <v>16</v>
      </c>
      <c r="O159" t="s">
        <v>17</v>
      </c>
    </row>
    <row r="160" spans="3:15" ht="15.75" x14ac:dyDescent="0.25">
      <c r="C160" t="s">
        <v>187</v>
      </c>
      <c r="D160" t="s">
        <v>339</v>
      </c>
      <c r="E160" t="s">
        <v>407</v>
      </c>
      <c r="F160" t="s">
        <v>15</v>
      </c>
      <c r="G160" s="1">
        <v>6.5</v>
      </c>
      <c r="H160">
        <f t="shared" si="6"/>
        <v>3.25</v>
      </c>
      <c r="I160">
        <f t="shared" si="7"/>
        <v>5.2</v>
      </c>
      <c r="J160">
        <f t="shared" si="8"/>
        <v>4.55</v>
      </c>
      <c r="L160">
        <v>20</v>
      </c>
      <c r="M160">
        <v>5</v>
      </c>
      <c r="N160" t="s">
        <v>16</v>
      </c>
      <c r="O160" t="s">
        <v>17</v>
      </c>
    </row>
    <row r="161" spans="3:15" ht="15.75" x14ac:dyDescent="0.25">
      <c r="C161" t="s">
        <v>188</v>
      </c>
      <c r="D161" t="s">
        <v>339</v>
      </c>
      <c r="E161" t="s">
        <v>408</v>
      </c>
      <c r="F161" t="s">
        <v>15</v>
      </c>
      <c r="G161" s="1">
        <v>9.9</v>
      </c>
      <c r="H161">
        <f t="shared" si="6"/>
        <v>4.95</v>
      </c>
      <c r="I161">
        <f t="shared" si="7"/>
        <v>7.9200000000000008</v>
      </c>
      <c r="J161">
        <f t="shared" si="8"/>
        <v>6.93</v>
      </c>
      <c r="L161">
        <v>20</v>
      </c>
      <c r="M161">
        <v>5</v>
      </c>
      <c r="N161" t="s">
        <v>16</v>
      </c>
      <c r="O161" t="s">
        <v>17</v>
      </c>
    </row>
    <row r="162" spans="3:15" ht="15.75" x14ac:dyDescent="0.25">
      <c r="C162" t="s">
        <v>189</v>
      </c>
      <c r="D162" t="s">
        <v>339</v>
      </c>
      <c r="E162" t="s">
        <v>409</v>
      </c>
      <c r="F162" t="s">
        <v>15</v>
      </c>
      <c r="G162" s="1">
        <v>8.9</v>
      </c>
      <c r="H162">
        <f t="shared" si="6"/>
        <v>4.45</v>
      </c>
      <c r="I162">
        <f t="shared" si="7"/>
        <v>7.120000000000001</v>
      </c>
      <c r="J162">
        <f t="shared" si="8"/>
        <v>6.2299999999999995</v>
      </c>
      <c r="L162">
        <v>20</v>
      </c>
      <c r="M162">
        <v>5</v>
      </c>
      <c r="N162" t="s">
        <v>16</v>
      </c>
      <c r="O162" t="s">
        <v>17</v>
      </c>
    </row>
    <row r="163" spans="3:15" ht="15.75" x14ac:dyDescent="0.25">
      <c r="C163" t="s">
        <v>190</v>
      </c>
      <c r="D163" t="s">
        <v>339</v>
      </c>
      <c r="E163" t="s">
        <v>410</v>
      </c>
      <c r="F163" t="s">
        <v>15</v>
      </c>
      <c r="G163" s="1">
        <v>19.899999999999999</v>
      </c>
      <c r="H163">
        <f t="shared" si="6"/>
        <v>9.9499999999999993</v>
      </c>
      <c r="I163">
        <f t="shared" si="7"/>
        <v>15.92</v>
      </c>
      <c r="J163">
        <f t="shared" si="8"/>
        <v>13.929999999999998</v>
      </c>
      <c r="L163">
        <v>20</v>
      </c>
      <c r="M163">
        <v>5</v>
      </c>
      <c r="N163" t="s">
        <v>16</v>
      </c>
      <c r="O163" t="s">
        <v>17</v>
      </c>
    </row>
    <row r="164" spans="3:15" ht="15.75" x14ac:dyDescent="0.25">
      <c r="C164" t="s">
        <v>191</v>
      </c>
      <c r="D164" t="s">
        <v>339</v>
      </c>
      <c r="E164" t="s">
        <v>411</v>
      </c>
      <c r="F164" t="s">
        <v>15</v>
      </c>
      <c r="G164" s="1">
        <v>5.9</v>
      </c>
      <c r="H164">
        <f t="shared" si="6"/>
        <v>2.95</v>
      </c>
      <c r="I164">
        <f t="shared" si="7"/>
        <v>4.7200000000000006</v>
      </c>
      <c r="J164">
        <f t="shared" si="8"/>
        <v>4.13</v>
      </c>
      <c r="L164">
        <v>20</v>
      </c>
      <c r="M164">
        <v>5</v>
      </c>
      <c r="N164" t="s">
        <v>16</v>
      </c>
      <c r="O164" t="s">
        <v>17</v>
      </c>
    </row>
    <row r="165" spans="3:15" ht="15.75" x14ac:dyDescent="0.25">
      <c r="C165" t="s">
        <v>192</v>
      </c>
      <c r="D165" t="s">
        <v>339</v>
      </c>
      <c r="E165" t="s">
        <v>412</v>
      </c>
      <c r="F165" t="s">
        <v>15</v>
      </c>
      <c r="G165" s="1">
        <v>99</v>
      </c>
      <c r="H165">
        <f t="shared" si="6"/>
        <v>49.5</v>
      </c>
      <c r="I165">
        <f t="shared" si="7"/>
        <v>79.2</v>
      </c>
      <c r="J165">
        <f t="shared" si="8"/>
        <v>69.3</v>
      </c>
      <c r="L165">
        <v>20</v>
      </c>
      <c r="M165">
        <v>5</v>
      </c>
      <c r="N165" t="s">
        <v>16</v>
      </c>
      <c r="O165" t="s">
        <v>17</v>
      </c>
    </row>
    <row r="166" spans="3:15" ht="15.75" x14ac:dyDescent="0.25">
      <c r="C166" t="s">
        <v>193</v>
      </c>
      <c r="D166" t="s">
        <v>339</v>
      </c>
      <c r="E166" t="s">
        <v>413</v>
      </c>
      <c r="F166" t="s">
        <v>15</v>
      </c>
      <c r="G166" s="1">
        <v>139</v>
      </c>
      <c r="H166">
        <f t="shared" si="6"/>
        <v>69.5</v>
      </c>
      <c r="I166">
        <f t="shared" si="7"/>
        <v>111.2</v>
      </c>
      <c r="J166">
        <f t="shared" si="8"/>
        <v>97.3</v>
      </c>
      <c r="L166">
        <v>20</v>
      </c>
      <c r="M166">
        <v>5</v>
      </c>
      <c r="N166" t="s">
        <v>16</v>
      </c>
      <c r="O166" t="s">
        <v>17</v>
      </c>
    </row>
    <row r="167" spans="3:15" ht="15.75" x14ac:dyDescent="0.25">
      <c r="C167" t="s">
        <v>194</v>
      </c>
      <c r="D167" t="s">
        <v>339</v>
      </c>
      <c r="E167" t="s">
        <v>414</v>
      </c>
      <c r="F167" t="s">
        <v>15</v>
      </c>
      <c r="G167" s="1">
        <v>19.899999999999999</v>
      </c>
      <c r="H167">
        <f t="shared" si="6"/>
        <v>9.9499999999999993</v>
      </c>
      <c r="I167">
        <f t="shared" si="7"/>
        <v>15.92</v>
      </c>
      <c r="J167">
        <f t="shared" si="8"/>
        <v>13.929999999999998</v>
      </c>
      <c r="L167">
        <v>20</v>
      </c>
      <c r="M167">
        <v>5</v>
      </c>
      <c r="N167" t="s">
        <v>16</v>
      </c>
      <c r="O167" t="s">
        <v>17</v>
      </c>
    </row>
    <row r="168" spans="3:15" ht="15.75" x14ac:dyDescent="0.25">
      <c r="C168" t="s">
        <v>195</v>
      </c>
      <c r="D168" t="s">
        <v>339</v>
      </c>
      <c r="E168" t="s">
        <v>415</v>
      </c>
      <c r="F168" t="s">
        <v>15</v>
      </c>
      <c r="G168" s="1">
        <v>29</v>
      </c>
      <c r="H168">
        <f t="shared" si="6"/>
        <v>14.5</v>
      </c>
      <c r="I168">
        <f t="shared" si="7"/>
        <v>23.200000000000003</v>
      </c>
      <c r="J168">
        <f t="shared" si="8"/>
        <v>20.299999999999997</v>
      </c>
      <c r="L168">
        <v>20</v>
      </c>
      <c r="M168">
        <v>5</v>
      </c>
      <c r="N168" t="s">
        <v>16</v>
      </c>
      <c r="O168" t="s">
        <v>17</v>
      </c>
    </row>
    <row r="169" spans="3:15" ht="15.75" x14ac:dyDescent="0.25">
      <c r="C169" t="s">
        <v>196</v>
      </c>
      <c r="D169" t="s">
        <v>339</v>
      </c>
      <c r="E169" t="s">
        <v>416</v>
      </c>
      <c r="F169" t="s">
        <v>15</v>
      </c>
      <c r="G169" s="1">
        <v>64.900000000000006</v>
      </c>
      <c r="H169">
        <f t="shared" si="6"/>
        <v>32.450000000000003</v>
      </c>
      <c r="I169">
        <f t="shared" si="7"/>
        <v>51.920000000000009</v>
      </c>
      <c r="J169">
        <f t="shared" si="8"/>
        <v>45.43</v>
      </c>
      <c r="L169">
        <v>20</v>
      </c>
      <c r="M169">
        <v>5</v>
      </c>
      <c r="N169" t="s">
        <v>16</v>
      </c>
      <c r="O169" t="s">
        <v>17</v>
      </c>
    </row>
    <row r="170" spans="3:15" ht="15.75" x14ac:dyDescent="0.25">
      <c r="C170" t="s">
        <v>197</v>
      </c>
      <c r="D170" t="s">
        <v>339</v>
      </c>
      <c r="E170" t="s">
        <v>417</v>
      </c>
      <c r="F170" t="s">
        <v>15</v>
      </c>
      <c r="G170" s="1">
        <v>159</v>
      </c>
      <c r="H170">
        <f t="shared" si="6"/>
        <v>79.5</v>
      </c>
      <c r="I170">
        <f t="shared" si="7"/>
        <v>127.2</v>
      </c>
      <c r="J170">
        <f t="shared" si="8"/>
        <v>111.3</v>
      </c>
      <c r="L170">
        <v>20</v>
      </c>
      <c r="M170">
        <v>5</v>
      </c>
      <c r="N170" t="s">
        <v>16</v>
      </c>
      <c r="O170" t="s">
        <v>17</v>
      </c>
    </row>
    <row r="171" spans="3:15" ht="15.75" x14ac:dyDescent="0.25">
      <c r="C171" t="s">
        <v>198</v>
      </c>
      <c r="D171" t="s">
        <v>339</v>
      </c>
      <c r="E171" t="s">
        <v>418</v>
      </c>
      <c r="F171" t="s">
        <v>15</v>
      </c>
      <c r="G171" s="1">
        <v>69</v>
      </c>
      <c r="H171">
        <f t="shared" si="6"/>
        <v>34.5</v>
      </c>
      <c r="I171">
        <f t="shared" si="7"/>
        <v>55.2</v>
      </c>
      <c r="J171">
        <f t="shared" si="8"/>
        <v>48.3</v>
      </c>
      <c r="L171">
        <v>20</v>
      </c>
      <c r="M171">
        <v>5</v>
      </c>
      <c r="N171" t="s">
        <v>16</v>
      </c>
      <c r="O171" t="s">
        <v>17</v>
      </c>
    </row>
    <row r="172" spans="3:15" ht="15.75" x14ac:dyDescent="0.25">
      <c r="C172" t="s">
        <v>199</v>
      </c>
      <c r="D172" t="s">
        <v>339</v>
      </c>
      <c r="E172" t="s">
        <v>419</v>
      </c>
      <c r="F172" t="s">
        <v>15</v>
      </c>
      <c r="G172" s="1">
        <v>79</v>
      </c>
      <c r="H172">
        <f t="shared" si="6"/>
        <v>39.5</v>
      </c>
      <c r="I172">
        <f t="shared" si="7"/>
        <v>63.2</v>
      </c>
      <c r="J172">
        <f t="shared" si="8"/>
        <v>55.3</v>
      </c>
      <c r="L172">
        <v>20</v>
      </c>
      <c r="M172">
        <v>5</v>
      </c>
      <c r="N172" t="s">
        <v>16</v>
      </c>
      <c r="O172" t="s">
        <v>17</v>
      </c>
    </row>
    <row r="173" spans="3:15" ht="15.75" x14ac:dyDescent="0.25">
      <c r="C173" t="s">
        <v>200</v>
      </c>
      <c r="D173" t="s">
        <v>339</v>
      </c>
      <c r="E173" t="s">
        <v>420</v>
      </c>
      <c r="F173" t="s">
        <v>15</v>
      </c>
      <c r="G173" s="1">
        <v>89</v>
      </c>
      <c r="H173">
        <f t="shared" si="6"/>
        <v>44.5</v>
      </c>
      <c r="I173">
        <f t="shared" si="7"/>
        <v>71.2</v>
      </c>
      <c r="J173">
        <f t="shared" si="8"/>
        <v>62.3</v>
      </c>
      <c r="L173">
        <v>20</v>
      </c>
      <c r="M173">
        <v>5</v>
      </c>
      <c r="N173" t="s">
        <v>16</v>
      </c>
      <c r="O173" t="s">
        <v>17</v>
      </c>
    </row>
    <row r="174" spans="3:15" ht="15.75" x14ac:dyDescent="0.25">
      <c r="C174" t="s">
        <v>201</v>
      </c>
      <c r="D174" t="s">
        <v>339</v>
      </c>
      <c r="E174" t="s">
        <v>421</v>
      </c>
      <c r="F174" t="s">
        <v>15</v>
      </c>
      <c r="G174" s="1">
        <v>89.9</v>
      </c>
      <c r="H174">
        <f t="shared" si="6"/>
        <v>44.95</v>
      </c>
      <c r="I174">
        <f t="shared" si="7"/>
        <v>71.92</v>
      </c>
      <c r="J174">
        <f t="shared" si="8"/>
        <v>62.93</v>
      </c>
      <c r="L174">
        <v>20</v>
      </c>
      <c r="M174">
        <v>5</v>
      </c>
      <c r="N174" t="s">
        <v>16</v>
      </c>
      <c r="O174" t="s">
        <v>17</v>
      </c>
    </row>
    <row r="175" spans="3:15" ht="15.75" x14ac:dyDescent="0.25">
      <c r="C175" t="s">
        <v>202</v>
      </c>
      <c r="D175" t="s">
        <v>338</v>
      </c>
      <c r="E175" t="s">
        <v>372</v>
      </c>
      <c r="F175" t="s">
        <v>15</v>
      </c>
      <c r="G175" s="1">
        <v>25</v>
      </c>
      <c r="H175">
        <f t="shared" si="6"/>
        <v>12.5</v>
      </c>
      <c r="I175">
        <f t="shared" si="7"/>
        <v>20</v>
      </c>
      <c r="J175">
        <f t="shared" si="8"/>
        <v>17.5</v>
      </c>
      <c r="L175">
        <v>20</v>
      </c>
      <c r="M175">
        <v>5</v>
      </c>
      <c r="N175" t="s">
        <v>16</v>
      </c>
      <c r="O175" t="s">
        <v>17</v>
      </c>
    </row>
    <row r="176" spans="3:15" ht="15.75" x14ac:dyDescent="0.25">
      <c r="C176" t="s">
        <v>203</v>
      </c>
      <c r="D176" t="s">
        <v>338</v>
      </c>
      <c r="E176" t="s">
        <v>372</v>
      </c>
      <c r="F176" t="s">
        <v>15</v>
      </c>
      <c r="G176" s="1">
        <v>28</v>
      </c>
      <c r="H176">
        <f t="shared" si="6"/>
        <v>14</v>
      </c>
      <c r="I176">
        <f t="shared" si="7"/>
        <v>22.400000000000002</v>
      </c>
      <c r="J176">
        <f t="shared" si="8"/>
        <v>19.599999999999998</v>
      </c>
      <c r="L176">
        <v>20</v>
      </c>
      <c r="M176">
        <v>5</v>
      </c>
      <c r="N176" t="s">
        <v>16</v>
      </c>
      <c r="O176" t="s">
        <v>17</v>
      </c>
    </row>
    <row r="177" spans="3:15" ht="15.75" x14ac:dyDescent="0.25">
      <c r="C177" t="s">
        <v>204</v>
      </c>
      <c r="D177" t="s">
        <v>338</v>
      </c>
      <c r="E177" t="s">
        <v>372</v>
      </c>
      <c r="F177" t="s">
        <v>15</v>
      </c>
      <c r="G177" s="1">
        <v>28</v>
      </c>
      <c r="H177">
        <f t="shared" si="6"/>
        <v>14</v>
      </c>
      <c r="I177">
        <f t="shared" si="7"/>
        <v>22.400000000000002</v>
      </c>
      <c r="J177">
        <f t="shared" si="8"/>
        <v>19.599999999999998</v>
      </c>
      <c r="L177">
        <v>20</v>
      </c>
      <c r="M177">
        <v>5</v>
      </c>
      <c r="N177" t="s">
        <v>16</v>
      </c>
      <c r="O177" t="s">
        <v>17</v>
      </c>
    </row>
    <row r="178" spans="3:15" ht="15.75" x14ac:dyDescent="0.25">
      <c r="C178" t="s">
        <v>205</v>
      </c>
      <c r="D178" t="s">
        <v>338</v>
      </c>
      <c r="E178" t="s">
        <v>372</v>
      </c>
      <c r="F178" t="s">
        <v>15</v>
      </c>
      <c r="G178" s="1">
        <v>17</v>
      </c>
      <c r="H178">
        <f t="shared" si="6"/>
        <v>8.5</v>
      </c>
      <c r="I178">
        <f t="shared" si="7"/>
        <v>13.600000000000001</v>
      </c>
      <c r="J178">
        <f t="shared" si="8"/>
        <v>11.899999999999999</v>
      </c>
      <c r="L178">
        <v>20</v>
      </c>
      <c r="M178">
        <v>5</v>
      </c>
      <c r="N178" t="s">
        <v>16</v>
      </c>
      <c r="O178" t="s">
        <v>17</v>
      </c>
    </row>
    <row r="179" spans="3:15" ht="15.75" x14ac:dyDescent="0.25">
      <c r="C179" t="s">
        <v>206</v>
      </c>
      <c r="D179" t="s">
        <v>338</v>
      </c>
      <c r="E179" t="s">
        <v>372</v>
      </c>
      <c r="F179" t="s">
        <v>15</v>
      </c>
      <c r="G179" s="1">
        <v>28</v>
      </c>
      <c r="H179">
        <f t="shared" si="6"/>
        <v>14</v>
      </c>
      <c r="I179">
        <f t="shared" si="7"/>
        <v>22.400000000000002</v>
      </c>
      <c r="J179">
        <f t="shared" si="8"/>
        <v>19.599999999999998</v>
      </c>
      <c r="L179">
        <v>20</v>
      </c>
      <c r="M179">
        <v>5</v>
      </c>
      <c r="N179" t="s">
        <v>16</v>
      </c>
      <c r="O179" t="s">
        <v>17</v>
      </c>
    </row>
    <row r="180" spans="3:15" ht="15.75" x14ac:dyDescent="0.25">
      <c r="C180" t="s">
        <v>207</v>
      </c>
      <c r="D180" t="s">
        <v>338</v>
      </c>
      <c r="E180" t="s">
        <v>18</v>
      </c>
      <c r="F180" t="s">
        <v>15</v>
      </c>
      <c r="G180" s="1">
        <v>37</v>
      </c>
      <c r="H180">
        <f t="shared" si="6"/>
        <v>18.5</v>
      </c>
      <c r="I180">
        <f t="shared" si="7"/>
        <v>29.6</v>
      </c>
      <c r="J180">
        <f t="shared" si="8"/>
        <v>25.9</v>
      </c>
      <c r="L180">
        <v>20</v>
      </c>
      <c r="M180">
        <v>5</v>
      </c>
      <c r="N180" t="s">
        <v>16</v>
      </c>
      <c r="O180" t="s">
        <v>17</v>
      </c>
    </row>
    <row r="181" spans="3:15" ht="15.75" x14ac:dyDescent="0.25">
      <c r="C181" t="s">
        <v>208</v>
      </c>
      <c r="D181" t="s">
        <v>338</v>
      </c>
      <c r="E181" t="s">
        <v>372</v>
      </c>
      <c r="F181" t="s">
        <v>15</v>
      </c>
      <c r="G181" s="1">
        <v>6</v>
      </c>
      <c r="H181">
        <f t="shared" si="6"/>
        <v>3</v>
      </c>
      <c r="I181">
        <f t="shared" si="7"/>
        <v>4.8000000000000007</v>
      </c>
      <c r="J181">
        <f t="shared" si="8"/>
        <v>4.1999999999999993</v>
      </c>
      <c r="L181">
        <v>20</v>
      </c>
      <c r="M181">
        <v>5</v>
      </c>
      <c r="N181" t="s">
        <v>16</v>
      </c>
      <c r="O181" t="s">
        <v>17</v>
      </c>
    </row>
    <row r="182" spans="3:15" ht="15.75" x14ac:dyDescent="0.25">
      <c r="C182" t="s">
        <v>209</v>
      </c>
      <c r="D182" t="s">
        <v>338</v>
      </c>
      <c r="E182" t="s">
        <v>372</v>
      </c>
      <c r="F182" t="s">
        <v>15</v>
      </c>
      <c r="G182" s="1">
        <v>17</v>
      </c>
      <c r="H182">
        <f t="shared" si="6"/>
        <v>8.5</v>
      </c>
      <c r="I182">
        <f t="shared" si="7"/>
        <v>13.600000000000001</v>
      </c>
      <c r="J182">
        <f t="shared" si="8"/>
        <v>11.899999999999999</v>
      </c>
      <c r="L182">
        <v>20</v>
      </c>
      <c r="M182">
        <v>5</v>
      </c>
      <c r="N182" t="s">
        <v>16</v>
      </c>
      <c r="O182" t="s">
        <v>17</v>
      </c>
    </row>
    <row r="183" spans="3:15" ht="15.75" x14ac:dyDescent="0.25">
      <c r="C183" t="s">
        <v>210</v>
      </c>
      <c r="D183" t="s">
        <v>338</v>
      </c>
      <c r="E183" t="s">
        <v>18</v>
      </c>
      <c r="F183" t="s">
        <v>15</v>
      </c>
      <c r="G183" s="1">
        <v>24</v>
      </c>
      <c r="H183">
        <f t="shared" si="6"/>
        <v>12</v>
      </c>
      <c r="I183">
        <f t="shared" si="7"/>
        <v>19.200000000000003</v>
      </c>
      <c r="J183">
        <f t="shared" si="8"/>
        <v>16.799999999999997</v>
      </c>
      <c r="L183">
        <v>20</v>
      </c>
      <c r="M183">
        <v>5</v>
      </c>
      <c r="N183" t="s">
        <v>16</v>
      </c>
      <c r="O183" t="s">
        <v>17</v>
      </c>
    </row>
    <row r="184" spans="3:15" ht="15.75" x14ac:dyDescent="0.25">
      <c r="C184" t="s">
        <v>211</v>
      </c>
      <c r="D184" t="s">
        <v>338</v>
      </c>
      <c r="E184" t="s">
        <v>422</v>
      </c>
      <c r="F184" t="s">
        <v>15</v>
      </c>
      <c r="G184" s="1">
        <v>13</v>
      </c>
      <c r="H184">
        <f t="shared" si="6"/>
        <v>6.5</v>
      </c>
      <c r="I184">
        <f t="shared" si="7"/>
        <v>10.4</v>
      </c>
      <c r="J184">
        <f t="shared" si="8"/>
        <v>9.1</v>
      </c>
      <c r="L184">
        <v>20</v>
      </c>
      <c r="M184">
        <v>5</v>
      </c>
      <c r="N184" t="s">
        <v>16</v>
      </c>
      <c r="O184" t="s">
        <v>17</v>
      </c>
    </row>
    <row r="185" spans="3:15" ht="15.75" x14ac:dyDescent="0.25">
      <c r="C185" t="s">
        <v>212</v>
      </c>
      <c r="D185" t="s">
        <v>338</v>
      </c>
      <c r="E185" t="s">
        <v>372</v>
      </c>
      <c r="F185" t="s">
        <v>15</v>
      </c>
      <c r="G185" s="1">
        <v>18</v>
      </c>
      <c r="H185">
        <f t="shared" si="6"/>
        <v>9</v>
      </c>
      <c r="I185">
        <f t="shared" si="7"/>
        <v>14.4</v>
      </c>
      <c r="J185">
        <f t="shared" si="8"/>
        <v>12.6</v>
      </c>
      <c r="L185">
        <v>20</v>
      </c>
      <c r="M185">
        <v>5</v>
      </c>
      <c r="N185" t="s">
        <v>16</v>
      </c>
      <c r="O185" t="s">
        <v>17</v>
      </c>
    </row>
    <row r="186" spans="3:15" ht="15.75" x14ac:dyDescent="0.25">
      <c r="C186" t="s">
        <v>213</v>
      </c>
      <c r="D186" t="s">
        <v>338</v>
      </c>
      <c r="E186" t="s">
        <v>18</v>
      </c>
      <c r="F186" t="s">
        <v>15</v>
      </c>
      <c r="G186" s="1">
        <v>5</v>
      </c>
      <c r="H186">
        <f t="shared" si="6"/>
        <v>2.5</v>
      </c>
      <c r="I186">
        <f t="shared" si="7"/>
        <v>4</v>
      </c>
      <c r="J186">
        <f t="shared" si="8"/>
        <v>3.5</v>
      </c>
      <c r="L186">
        <v>20</v>
      </c>
      <c r="M186">
        <v>5</v>
      </c>
      <c r="N186" t="s">
        <v>16</v>
      </c>
      <c r="O186" t="s">
        <v>17</v>
      </c>
    </row>
    <row r="187" spans="3:15" ht="15.75" x14ac:dyDescent="0.25">
      <c r="C187" t="s">
        <v>214</v>
      </c>
      <c r="D187" t="s">
        <v>338</v>
      </c>
      <c r="E187" t="s">
        <v>18</v>
      </c>
      <c r="F187" t="s">
        <v>15</v>
      </c>
      <c r="G187" s="1">
        <v>35</v>
      </c>
      <c r="H187">
        <f t="shared" si="6"/>
        <v>17.5</v>
      </c>
      <c r="I187">
        <f t="shared" si="7"/>
        <v>28</v>
      </c>
      <c r="J187">
        <f t="shared" si="8"/>
        <v>24.5</v>
      </c>
      <c r="L187">
        <v>20</v>
      </c>
      <c r="M187">
        <v>5</v>
      </c>
      <c r="N187" t="s">
        <v>16</v>
      </c>
      <c r="O187" t="s">
        <v>17</v>
      </c>
    </row>
    <row r="188" spans="3:15" ht="15.75" x14ac:dyDescent="0.25">
      <c r="C188" t="s">
        <v>215</v>
      </c>
      <c r="D188" t="s">
        <v>338</v>
      </c>
      <c r="E188" t="s">
        <v>372</v>
      </c>
      <c r="F188" t="s">
        <v>15</v>
      </c>
      <c r="G188" s="1">
        <v>18</v>
      </c>
      <c r="H188">
        <f t="shared" si="6"/>
        <v>9</v>
      </c>
      <c r="I188">
        <f t="shared" si="7"/>
        <v>14.4</v>
      </c>
      <c r="J188">
        <f t="shared" si="8"/>
        <v>12.6</v>
      </c>
      <c r="L188">
        <v>20</v>
      </c>
      <c r="M188">
        <v>5</v>
      </c>
      <c r="N188" t="s">
        <v>16</v>
      </c>
      <c r="O188" t="s">
        <v>17</v>
      </c>
    </row>
    <row r="189" spans="3:15" ht="15.75" x14ac:dyDescent="0.25">
      <c r="C189" t="s">
        <v>216</v>
      </c>
      <c r="D189" t="s">
        <v>338</v>
      </c>
      <c r="E189" t="s">
        <v>372</v>
      </c>
      <c r="F189" t="s">
        <v>15</v>
      </c>
      <c r="G189" s="1">
        <v>29</v>
      </c>
      <c r="H189">
        <f t="shared" si="6"/>
        <v>14.5</v>
      </c>
      <c r="I189">
        <f t="shared" si="7"/>
        <v>23.200000000000003</v>
      </c>
      <c r="J189">
        <f t="shared" si="8"/>
        <v>20.299999999999997</v>
      </c>
      <c r="L189">
        <v>20</v>
      </c>
      <c r="M189">
        <v>5</v>
      </c>
      <c r="N189" t="s">
        <v>16</v>
      </c>
      <c r="O189" t="s">
        <v>17</v>
      </c>
    </row>
    <row r="190" spans="3:15" ht="15.75" x14ac:dyDescent="0.25">
      <c r="C190" t="s">
        <v>217</v>
      </c>
      <c r="D190" t="s">
        <v>338</v>
      </c>
      <c r="E190" t="s">
        <v>372</v>
      </c>
      <c r="F190" t="s">
        <v>15</v>
      </c>
      <c r="G190" s="1">
        <v>25</v>
      </c>
      <c r="H190">
        <f t="shared" si="6"/>
        <v>12.5</v>
      </c>
      <c r="I190">
        <f t="shared" si="7"/>
        <v>20</v>
      </c>
      <c r="J190">
        <f t="shared" si="8"/>
        <v>17.5</v>
      </c>
      <c r="L190">
        <v>20</v>
      </c>
      <c r="M190">
        <v>5</v>
      </c>
      <c r="N190" t="s">
        <v>16</v>
      </c>
      <c r="O190" t="s">
        <v>17</v>
      </c>
    </row>
    <row r="191" spans="3:15" ht="15.75" x14ac:dyDescent="0.25">
      <c r="C191" t="s">
        <v>218</v>
      </c>
      <c r="D191" t="s">
        <v>338</v>
      </c>
      <c r="E191" t="s">
        <v>372</v>
      </c>
      <c r="F191" t="s">
        <v>15</v>
      </c>
      <c r="G191" s="1">
        <v>25</v>
      </c>
      <c r="H191">
        <f t="shared" si="6"/>
        <v>12.5</v>
      </c>
      <c r="I191">
        <f t="shared" si="7"/>
        <v>20</v>
      </c>
      <c r="J191">
        <f t="shared" si="8"/>
        <v>17.5</v>
      </c>
      <c r="L191">
        <v>20</v>
      </c>
      <c r="M191">
        <v>5</v>
      </c>
      <c r="N191" t="s">
        <v>16</v>
      </c>
      <c r="O191" t="s">
        <v>17</v>
      </c>
    </row>
    <row r="192" spans="3:15" ht="15.75" x14ac:dyDescent="0.25">
      <c r="C192" t="s">
        <v>219</v>
      </c>
      <c r="D192" t="s">
        <v>338</v>
      </c>
      <c r="E192" t="s">
        <v>372</v>
      </c>
      <c r="F192" t="s">
        <v>15</v>
      </c>
      <c r="G192" s="1">
        <v>29</v>
      </c>
      <c r="H192">
        <f t="shared" si="6"/>
        <v>14.5</v>
      </c>
      <c r="I192">
        <f t="shared" si="7"/>
        <v>23.200000000000003</v>
      </c>
      <c r="J192">
        <f t="shared" si="8"/>
        <v>20.299999999999997</v>
      </c>
      <c r="L192">
        <v>20</v>
      </c>
      <c r="M192">
        <v>5</v>
      </c>
      <c r="N192" t="s">
        <v>16</v>
      </c>
      <c r="O192" t="s">
        <v>17</v>
      </c>
    </row>
    <row r="193" spans="3:15" ht="15.75" x14ac:dyDescent="0.25">
      <c r="C193" t="s">
        <v>220</v>
      </c>
      <c r="D193" t="s">
        <v>338</v>
      </c>
      <c r="E193" t="s">
        <v>372</v>
      </c>
      <c r="F193" t="s">
        <v>15</v>
      </c>
      <c r="G193" s="1">
        <v>13</v>
      </c>
      <c r="H193">
        <f t="shared" si="6"/>
        <v>6.5</v>
      </c>
      <c r="I193">
        <f t="shared" si="7"/>
        <v>10.4</v>
      </c>
      <c r="J193">
        <f t="shared" si="8"/>
        <v>9.1</v>
      </c>
      <c r="L193">
        <v>20</v>
      </c>
      <c r="M193">
        <v>5</v>
      </c>
      <c r="N193" t="s">
        <v>16</v>
      </c>
      <c r="O193" t="s">
        <v>17</v>
      </c>
    </row>
    <row r="194" spans="3:15" ht="15.75" x14ac:dyDescent="0.25">
      <c r="C194" t="s">
        <v>221</v>
      </c>
      <c r="D194" t="s">
        <v>338</v>
      </c>
      <c r="E194" t="s">
        <v>372</v>
      </c>
      <c r="F194" t="s">
        <v>15</v>
      </c>
      <c r="G194" s="1">
        <v>14</v>
      </c>
      <c r="H194">
        <f t="shared" si="6"/>
        <v>7</v>
      </c>
      <c r="I194">
        <f t="shared" si="7"/>
        <v>11.200000000000001</v>
      </c>
      <c r="J194">
        <f t="shared" si="8"/>
        <v>9.7999999999999989</v>
      </c>
      <c r="L194">
        <v>20</v>
      </c>
      <c r="M194">
        <v>5</v>
      </c>
      <c r="N194" t="s">
        <v>16</v>
      </c>
      <c r="O194" t="s">
        <v>17</v>
      </c>
    </row>
    <row r="195" spans="3:15" ht="15.75" x14ac:dyDescent="0.25">
      <c r="C195" t="s">
        <v>222</v>
      </c>
      <c r="D195" t="s">
        <v>338</v>
      </c>
      <c r="E195" t="s">
        <v>372</v>
      </c>
      <c r="F195" t="s">
        <v>15</v>
      </c>
      <c r="G195" s="1">
        <v>7</v>
      </c>
      <c r="H195">
        <f t="shared" ref="H195:H258" si="9">G195*0.5</f>
        <v>3.5</v>
      </c>
      <c r="I195">
        <f t="shared" ref="I195:I258" si="10">G195*0.8</f>
        <v>5.6000000000000005</v>
      </c>
      <c r="J195">
        <f t="shared" ref="J195:J258" si="11">G195*0.7</f>
        <v>4.8999999999999995</v>
      </c>
      <c r="L195">
        <v>20</v>
      </c>
      <c r="M195">
        <v>5</v>
      </c>
      <c r="N195" t="s">
        <v>16</v>
      </c>
      <c r="O195" t="s">
        <v>17</v>
      </c>
    </row>
    <row r="196" spans="3:15" ht="15.75" x14ac:dyDescent="0.25">
      <c r="C196" t="s">
        <v>223</v>
      </c>
      <c r="D196" t="s">
        <v>338</v>
      </c>
      <c r="E196" t="s">
        <v>372</v>
      </c>
      <c r="F196" t="s">
        <v>15</v>
      </c>
      <c r="G196" s="1">
        <v>28</v>
      </c>
      <c r="H196">
        <f t="shared" si="9"/>
        <v>14</v>
      </c>
      <c r="I196">
        <f t="shared" si="10"/>
        <v>22.400000000000002</v>
      </c>
      <c r="J196">
        <f t="shared" si="11"/>
        <v>19.599999999999998</v>
      </c>
      <c r="L196">
        <v>20</v>
      </c>
      <c r="M196">
        <v>5</v>
      </c>
      <c r="N196" t="s">
        <v>16</v>
      </c>
      <c r="O196" t="s">
        <v>17</v>
      </c>
    </row>
    <row r="197" spans="3:15" ht="15.75" x14ac:dyDescent="0.25">
      <c r="C197" t="s">
        <v>224</v>
      </c>
      <c r="D197" t="s">
        <v>338</v>
      </c>
      <c r="E197" t="s">
        <v>372</v>
      </c>
      <c r="F197" t="s">
        <v>15</v>
      </c>
      <c r="G197" s="1">
        <v>17</v>
      </c>
      <c r="H197">
        <f t="shared" si="9"/>
        <v>8.5</v>
      </c>
      <c r="I197">
        <f t="shared" si="10"/>
        <v>13.600000000000001</v>
      </c>
      <c r="J197">
        <f t="shared" si="11"/>
        <v>11.899999999999999</v>
      </c>
      <c r="L197">
        <v>20</v>
      </c>
      <c r="M197">
        <v>5</v>
      </c>
      <c r="N197" t="s">
        <v>16</v>
      </c>
      <c r="O197" t="s">
        <v>17</v>
      </c>
    </row>
    <row r="198" spans="3:15" ht="15.75" x14ac:dyDescent="0.25">
      <c r="C198" t="s">
        <v>225</v>
      </c>
      <c r="D198" t="s">
        <v>338</v>
      </c>
      <c r="E198" t="s">
        <v>372</v>
      </c>
      <c r="F198" t="s">
        <v>15</v>
      </c>
      <c r="G198" s="1">
        <v>28</v>
      </c>
      <c r="H198">
        <f t="shared" si="9"/>
        <v>14</v>
      </c>
      <c r="I198">
        <f t="shared" si="10"/>
        <v>22.400000000000002</v>
      </c>
      <c r="J198">
        <f t="shared" si="11"/>
        <v>19.599999999999998</v>
      </c>
      <c r="L198">
        <v>20</v>
      </c>
      <c r="M198">
        <v>5</v>
      </c>
      <c r="N198" t="s">
        <v>16</v>
      </c>
      <c r="O198" t="s">
        <v>17</v>
      </c>
    </row>
    <row r="199" spans="3:15" ht="15.75" x14ac:dyDescent="0.25">
      <c r="C199" t="s">
        <v>226</v>
      </c>
      <c r="D199" t="s">
        <v>338</v>
      </c>
      <c r="E199" t="s">
        <v>372</v>
      </c>
      <c r="F199" t="s">
        <v>15</v>
      </c>
      <c r="G199" s="1">
        <v>28</v>
      </c>
      <c r="H199">
        <f t="shared" si="9"/>
        <v>14</v>
      </c>
      <c r="I199">
        <f t="shared" si="10"/>
        <v>22.400000000000002</v>
      </c>
      <c r="J199">
        <f t="shared" si="11"/>
        <v>19.599999999999998</v>
      </c>
      <c r="L199">
        <v>20</v>
      </c>
      <c r="M199">
        <v>5</v>
      </c>
      <c r="N199" t="s">
        <v>16</v>
      </c>
      <c r="O199" t="s">
        <v>17</v>
      </c>
    </row>
    <row r="200" spans="3:15" ht="15.75" x14ac:dyDescent="0.25">
      <c r="C200" t="s">
        <v>227</v>
      </c>
      <c r="D200" t="s">
        <v>338</v>
      </c>
      <c r="E200" t="s">
        <v>372</v>
      </c>
      <c r="F200" t="s">
        <v>15</v>
      </c>
      <c r="G200" s="1">
        <v>17</v>
      </c>
      <c r="H200">
        <f t="shared" si="9"/>
        <v>8.5</v>
      </c>
      <c r="I200">
        <f t="shared" si="10"/>
        <v>13.600000000000001</v>
      </c>
      <c r="J200">
        <f t="shared" si="11"/>
        <v>11.899999999999999</v>
      </c>
      <c r="L200">
        <v>20</v>
      </c>
      <c r="M200">
        <v>5</v>
      </c>
      <c r="N200" t="s">
        <v>16</v>
      </c>
      <c r="O200" t="s">
        <v>17</v>
      </c>
    </row>
    <row r="201" spans="3:15" ht="15.75" x14ac:dyDescent="0.25">
      <c r="C201" t="s">
        <v>228</v>
      </c>
      <c r="D201" t="s">
        <v>338</v>
      </c>
      <c r="E201" t="s">
        <v>372</v>
      </c>
      <c r="F201" t="s">
        <v>15</v>
      </c>
      <c r="G201" s="1">
        <v>17</v>
      </c>
      <c r="H201">
        <f t="shared" si="9"/>
        <v>8.5</v>
      </c>
      <c r="I201">
        <f t="shared" si="10"/>
        <v>13.600000000000001</v>
      </c>
      <c r="J201">
        <f t="shared" si="11"/>
        <v>11.899999999999999</v>
      </c>
      <c r="L201">
        <v>20</v>
      </c>
      <c r="M201">
        <v>5</v>
      </c>
      <c r="N201" t="s">
        <v>16</v>
      </c>
      <c r="O201" t="s">
        <v>17</v>
      </c>
    </row>
    <row r="202" spans="3:15" ht="15.75" x14ac:dyDescent="0.25">
      <c r="C202" t="s">
        <v>229</v>
      </c>
      <c r="D202" t="s">
        <v>338</v>
      </c>
      <c r="E202" t="s">
        <v>372</v>
      </c>
      <c r="F202" t="s">
        <v>15</v>
      </c>
      <c r="G202" s="1">
        <v>17</v>
      </c>
      <c r="H202">
        <f t="shared" si="9"/>
        <v>8.5</v>
      </c>
      <c r="I202">
        <f t="shared" si="10"/>
        <v>13.600000000000001</v>
      </c>
      <c r="J202">
        <f t="shared" si="11"/>
        <v>11.899999999999999</v>
      </c>
      <c r="L202">
        <v>20</v>
      </c>
      <c r="M202">
        <v>5</v>
      </c>
      <c r="N202" t="s">
        <v>16</v>
      </c>
      <c r="O202" t="s">
        <v>17</v>
      </c>
    </row>
    <row r="203" spans="3:15" ht="15.75" x14ac:dyDescent="0.25">
      <c r="C203" t="s">
        <v>230</v>
      </c>
      <c r="D203" t="s">
        <v>338</v>
      </c>
      <c r="E203" t="s">
        <v>372</v>
      </c>
      <c r="F203" t="s">
        <v>15</v>
      </c>
      <c r="G203" s="1">
        <v>17</v>
      </c>
      <c r="H203">
        <f t="shared" si="9"/>
        <v>8.5</v>
      </c>
      <c r="I203">
        <f t="shared" si="10"/>
        <v>13.600000000000001</v>
      </c>
      <c r="J203">
        <f t="shared" si="11"/>
        <v>11.899999999999999</v>
      </c>
      <c r="L203">
        <v>20</v>
      </c>
      <c r="M203">
        <v>5</v>
      </c>
      <c r="N203" t="s">
        <v>16</v>
      </c>
      <c r="O203" t="s">
        <v>17</v>
      </c>
    </row>
    <row r="204" spans="3:15" ht="15.75" x14ac:dyDescent="0.25">
      <c r="C204" t="s">
        <v>231</v>
      </c>
      <c r="D204" t="s">
        <v>338</v>
      </c>
      <c r="E204" t="s">
        <v>18</v>
      </c>
      <c r="F204" t="s">
        <v>15</v>
      </c>
      <c r="G204" s="1">
        <v>20</v>
      </c>
      <c r="H204">
        <f t="shared" si="9"/>
        <v>10</v>
      </c>
      <c r="I204">
        <f t="shared" si="10"/>
        <v>16</v>
      </c>
      <c r="J204">
        <f t="shared" si="11"/>
        <v>14</v>
      </c>
      <c r="L204">
        <v>20</v>
      </c>
      <c r="M204">
        <v>5</v>
      </c>
      <c r="N204" t="s">
        <v>16</v>
      </c>
      <c r="O204" t="s">
        <v>17</v>
      </c>
    </row>
    <row r="205" spans="3:15" ht="15.75" x14ac:dyDescent="0.25">
      <c r="C205" t="s">
        <v>232</v>
      </c>
      <c r="D205" t="s">
        <v>338</v>
      </c>
      <c r="E205" t="s">
        <v>372</v>
      </c>
      <c r="F205" t="s">
        <v>15</v>
      </c>
      <c r="G205" s="1">
        <v>8</v>
      </c>
      <c r="H205">
        <f t="shared" si="9"/>
        <v>4</v>
      </c>
      <c r="I205">
        <f t="shared" si="10"/>
        <v>6.4</v>
      </c>
      <c r="J205">
        <f t="shared" si="11"/>
        <v>5.6</v>
      </c>
      <c r="L205">
        <v>20</v>
      </c>
      <c r="M205">
        <v>5</v>
      </c>
      <c r="N205" t="s">
        <v>16</v>
      </c>
      <c r="O205" t="s">
        <v>17</v>
      </c>
    </row>
    <row r="206" spans="3:15" ht="15.75" x14ac:dyDescent="0.25">
      <c r="C206" t="s">
        <v>233</v>
      </c>
      <c r="D206" t="s">
        <v>338</v>
      </c>
      <c r="E206" t="s">
        <v>372</v>
      </c>
      <c r="F206" t="s">
        <v>15</v>
      </c>
      <c r="G206" s="1">
        <v>4</v>
      </c>
      <c r="H206">
        <f t="shared" si="9"/>
        <v>2</v>
      </c>
      <c r="I206">
        <f t="shared" si="10"/>
        <v>3.2</v>
      </c>
      <c r="J206">
        <f t="shared" si="11"/>
        <v>2.8</v>
      </c>
      <c r="L206">
        <v>20</v>
      </c>
      <c r="M206">
        <v>5</v>
      </c>
      <c r="N206" t="s">
        <v>16</v>
      </c>
      <c r="O206" t="s">
        <v>17</v>
      </c>
    </row>
    <row r="207" spans="3:15" ht="15.75" x14ac:dyDescent="0.25">
      <c r="C207" t="s">
        <v>234</v>
      </c>
      <c r="D207" t="s">
        <v>338</v>
      </c>
      <c r="E207" t="s">
        <v>423</v>
      </c>
      <c r="F207" t="s">
        <v>15</v>
      </c>
      <c r="G207" s="1">
        <v>15</v>
      </c>
      <c r="H207">
        <f t="shared" si="9"/>
        <v>7.5</v>
      </c>
      <c r="I207">
        <f t="shared" si="10"/>
        <v>12</v>
      </c>
      <c r="J207">
        <f t="shared" si="11"/>
        <v>10.5</v>
      </c>
      <c r="L207">
        <v>20</v>
      </c>
      <c r="M207">
        <v>5</v>
      </c>
      <c r="N207" t="s">
        <v>16</v>
      </c>
      <c r="O207" t="s">
        <v>17</v>
      </c>
    </row>
    <row r="208" spans="3:15" ht="15.75" x14ac:dyDescent="0.25">
      <c r="C208" t="s">
        <v>235</v>
      </c>
      <c r="D208" t="s">
        <v>338</v>
      </c>
      <c r="E208" t="s">
        <v>372</v>
      </c>
      <c r="F208" t="s">
        <v>15</v>
      </c>
      <c r="G208" s="1">
        <v>8</v>
      </c>
      <c r="H208">
        <f t="shared" si="9"/>
        <v>4</v>
      </c>
      <c r="I208">
        <f t="shared" si="10"/>
        <v>6.4</v>
      </c>
      <c r="J208">
        <f t="shared" si="11"/>
        <v>5.6</v>
      </c>
      <c r="L208">
        <v>20</v>
      </c>
      <c r="M208">
        <v>5</v>
      </c>
      <c r="N208" t="s">
        <v>16</v>
      </c>
      <c r="O208" t="s">
        <v>17</v>
      </c>
    </row>
    <row r="209" spans="3:15" ht="15.75" x14ac:dyDescent="0.25">
      <c r="C209" t="s">
        <v>236</v>
      </c>
      <c r="D209" t="s">
        <v>338</v>
      </c>
      <c r="E209" t="s">
        <v>372</v>
      </c>
      <c r="F209" t="s">
        <v>15</v>
      </c>
      <c r="G209" s="1">
        <v>28</v>
      </c>
      <c r="H209">
        <f t="shared" si="9"/>
        <v>14</v>
      </c>
      <c r="I209">
        <f t="shared" si="10"/>
        <v>22.400000000000002</v>
      </c>
      <c r="J209">
        <f t="shared" si="11"/>
        <v>19.599999999999998</v>
      </c>
      <c r="L209">
        <v>20</v>
      </c>
      <c r="M209">
        <v>5</v>
      </c>
      <c r="N209" t="s">
        <v>16</v>
      </c>
      <c r="O209" t="s">
        <v>17</v>
      </c>
    </row>
    <row r="210" spans="3:15" ht="15.75" x14ac:dyDescent="0.25">
      <c r="C210" t="s">
        <v>237</v>
      </c>
      <c r="D210" t="s">
        <v>338</v>
      </c>
      <c r="E210" t="s">
        <v>372</v>
      </c>
      <c r="F210" t="s">
        <v>15</v>
      </c>
      <c r="G210" s="1">
        <v>28</v>
      </c>
      <c r="H210">
        <f t="shared" si="9"/>
        <v>14</v>
      </c>
      <c r="I210">
        <f t="shared" si="10"/>
        <v>22.400000000000002</v>
      </c>
      <c r="J210">
        <f t="shared" si="11"/>
        <v>19.599999999999998</v>
      </c>
      <c r="L210">
        <v>20</v>
      </c>
      <c r="M210">
        <v>5</v>
      </c>
      <c r="N210" t="s">
        <v>16</v>
      </c>
      <c r="O210" t="s">
        <v>17</v>
      </c>
    </row>
    <row r="211" spans="3:15" ht="15.75" x14ac:dyDescent="0.25">
      <c r="C211" t="s">
        <v>238</v>
      </c>
      <c r="D211" t="s">
        <v>341</v>
      </c>
      <c r="E211" t="s">
        <v>424</v>
      </c>
      <c r="F211" t="s">
        <v>15</v>
      </c>
      <c r="G211" s="1">
        <v>5.9</v>
      </c>
      <c r="H211">
        <f t="shared" si="9"/>
        <v>2.95</v>
      </c>
      <c r="I211">
        <f t="shared" si="10"/>
        <v>4.7200000000000006</v>
      </c>
      <c r="J211">
        <f t="shared" si="11"/>
        <v>4.13</v>
      </c>
      <c r="L211">
        <v>20</v>
      </c>
      <c r="M211">
        <v>5</v>
      </c>
      <c r="N211" t="s">
        <v>16</v>
      </c>
      <c r="O211" t="s">
        <v>17</v>
      </c>
    </row>
    <row r="212" spans="3:15" ht="15.75" x14ac:dyDescent="0.25">
      <c r="C212" t="s">
        <v>239</v>
      </c>
      <c r="D212" t="s">
        <v>341</v>
      </c>
      <c r="E212" t="s">
        <v>424</v>
      </c>
      <c r="F212" t="s">
        <v>15</v>
      </c>
      <c r="G212" s="1">
        <v>13</v>
      </c>
      <c r="H212">
        <f t="shared" si="9"/>
        <v>6.5</v>
      </c>
      <c r="I212">
        <f t="shared" si="10"/>
        <v>10.4</v>
      </c>
      <c r="J212">
        <f t="shared" si="11"/>
        <v>9.1</v>
      </c>
      <c r="L212">
        <v>20</v>
      </c>
      <c r="M212">
        <v>5</v>
      </c>
      <c r="N212" t="s">
        <v>16</v>
      </c>
      <c r="O212" t="s">
        <v>17</v>
      </c>
    </row>
    <row r="213" spans="3:15" ht="15.75" x14ac:dyDescent="0.25">
      <c r="C213" t="s">
        <v>240</v>
      </c>
      <c r="D213" t="s">
        <v>341</v>
      </c>
      <c r="E213" t="s">
        <v>425</v>
      </c>
      <c r="F213" t="s">
        <v>15</v>
      </c>
      <c r="G213" s="1">
        <v>5.9</v>
      </c>
      <c r="H213">
        <f t="shared" si="9"/>
        <v>2.95</v>
      </c>
      <c r="I213">
        <f t="shared" si="10"/>
        <v>4.7200000000000006</v>
      </c>
      <c r="J213">
        <f t="shared" si="11"/>
        <v>4.13</v>
      </c>
      <c r="L213">
        <v>20</v>
      </c>
      <c r="M213">
        <v>5</v>
      </c>
      <c r="N213" t="s">
        <v>16</v>
      </c>
      <c r="O213" t="s">
        <v>17</v>
      </c>
    </row>
    <row r="214" spans="3:15" ht="15.75" x14ac:dyDescent="0.25">
      <c r="C214" t="s">
        <v>241</v>
      </c>
      <c r="D214" t="s">
        <v>341</v>
      </c>
      <c r="E214" t="s">
        <v>425</v>
      </c>
      <c r="F214" t="s">
        <v>15</v>
      </c>
      <c r="G214" s="1">
        <v>13</v>
      </c>
      <c r="H214">
        <f t="shared" si="9"/>
        <v>6.5</v>
      </c>
      <c r="I214">
        <f t="shared" si="10"/>
        <v>10.4</v>
      </c>
      <c r="J214">
        <f t="shared" si="11"/>
        <v>9.1</v>
      </c>
      <c r="L214">
        <v>20</v>
      </c>
      <c r="M214">
        <v>5</v>
      </c>
      <c r="N214" t="s">
        <v>16</v>
      </c>
      <c r="O214" t="s">
        <v>17</v>
      </c>
    </row>
    <row r="215" spans="3:15" ht="15.75" x14ac:dyDescent="0.25">
      <c r="C215" t="s">
        <v>242</v>
      </c>
      <c r="D215" t="s">
        <v>341</v>
      </c>
      <c r="E215" t="s">
        <v>426</v>
      </c>
      <c r="F215" t="s">
        <v>15</v>
      </c>
      <c r="G215" s="1">
        <v>5.9</v>
      </c>
      <c r="H215">
        <f t="shared" si="9"/>
        <v>2.95</v>
      </c>
      <c r="I215">
        <f t="shared" si="10"/>
        <v>4.7200000000000006</v>
      </c>
      <c r="J215">
        <f t="shared" si="11"/>
        <v>4.13</v>
      </c>
      <c r="L215">
        <v>20</v>
      </c>
      <c r="M215">
        <v>5</v>
      </c>
      <c r="N215" t="s">
        <v>16</v>
      </c>
      <c r="O215" t="s">
        <v>17</v>
      </c>
    </row>
    <row r="216" spans="3:15" ht="15.75" x14ac:dyDescent="0.25">
      <c r="C216" t="s">
        <v>243</v>
      </c>
      <c r="D216" t="s">
        <v>341</v>
      </c>
      <c r="E216" t="s">
        <v>426</v>
      </c>
      <c r="F216" t="s">
        <v>15</v>
      </c>
      <c r="G216" s="1">
        <v>13</v>
      </c>
      <c r="H216">
        <f t="shared" si="9"/>
        <v>6.5</v>
      </c>
      <c r="I216">
        <f t="shared" si="10"/>
        <v>10.4</v>
      </c>
      <c r="J216">
        <f t="shared" si="11"/>
        <v>9.1</v>
      </c>
      <c r="L216">
        <v>20</v>
      </c>
      <c r="M216">
        <v>5</v>
      </c>
      <c r="N216" t="s">
        <v>16</v>
      </c>
      <c r="O216" t="s">
        <v>17</v>
      </c>
    </row>
    <row r="217" spans="3:15" ht="15.75" x14ac:dyDescent="0.25">
      <c r="C217" t="s">
        <v>244</v>
      </c>
      <c r="D217" t="s">
        <v>341</v>
      </c>
      <c r="E217" t="s">
        <v>427</v>
      </c>
      <c r="F217" t="s">
        <v>15</v>
      </c>
      <c r="G217" s="1">
        <v>14</v>
      </c>
      <c r="H217">
        <f t="shared" si="9"/>
        <v>7</v>
      </c>
      <c r="I217">
        <f t="shared" si="10"/>
        <v>11.200000000000001</v>
      </c>
      <c r="J217">
        <f t="shared" si="11"/>
        <v>9.7999999999999989</v>
      </c>
      <c r="L217">
        <v>20</v>
      </c>
      <c r="M217">
        <v>5</v>
      </c>
      <c r="N217" t="s">
        <v>16</v>
      </c>
      <c r="O217" t="s">
        <v>17</v>
      </c>
    </row>
    <row r="218" spans="3:15" ht="15.75" x14ac:dyDescent="0.25">
      <c r="C218" t="s">
        <v>245</v>
      </c>
      <c r="D218" t="s">
        <v>341</v>
      </c>
      <c r="E218" t="s">
        <v>427</v>
      </c>
      <c r="F218" t="s">
        <v>15</v>
      </c>
      <c r="G218" s="1">
        <v>14</v>
      </c>
      <c r="H218">
        <f t="shared" si="9"/>
        <v>7</v>
      </c>
      <c r="I218">
        <f t="shared" si="10"/>
        <v>11.200000000000001</v>
      </c>
      <c r="J218">
        <f t="shared" si="11"/>
        <v>9.7999999999999989</v>
      </c>
      <c r="L218">
        <v>20</v>
      </c>
      <c r="M218">
        <v>5</v>
      </c>
      <c r="N218" t="s">
        <v>16</v>
      </c>
      <c r="O218" t="s">
        <v>17</v>
      </c>
    </row>
    <row r="219" spans="3:15" ht="15.75" x14ac:dyDescent="0.25">
      <c r="C219" t="s">
        <v>246</v>
      </c>
      <c r="D219" t="s">
        <v>341</v>
      </c>
      <c r="E219" t="s">
        <v>427</v>
      </c>
      <c r="F219" t="s">
        <v>15</v>
      </c>
      <c r="G219" s="1">
        <v>14</v>
      </c>
      <c r="H219">
        <f t="shared" si="9"/>
        <v>7</v>
      </c>
      <c r="I219">
        <f t="shared" si="10"/>
        <v>11.200000000000001</v>
      </c>
      <c r="J219">
        <f t="shared" si="11"/>
        <v>9.7999999999999989</v>
      </c>
      <c r="L219">
        <v>20</v>
      </c>
      <c r="M219">
        <v>5</v>
      </c>
      <c r="N219" t="s">
        <v>16</v>
      </c>
      <c r="O219" t="s">
        <v>17</v>
      </c>
    </row>
    <row r="220" spans="3:15" ht="15.75" x14ac:dyDescent="0.25">
      <c r="C220" t="s">
        <v>247</v>
      </c>
      <c r="D220" t="s">
        <v>341</v>
      </c>
      <c r="E220" t="s">
        <v>428</v>
      </c>
      <c r="F220" t="s">
        <v>15</v>
      </c>
      <c r="G220" s="1">
        <v>4.5</v>
      </c>
      <c r="H220">
        <f t="shared" si="9"/>
        <v>2.25</v>
      </c>
      <c r="I220">
        <f t="shared" si="10"/>
        <v>3.6</v>
      </c>
      <c r="J220">
        <f t="shared" si="11"/>
        <v>3.15</v>
      </c>
      <c r="L220">
        <v>20</v>
      </c>
      <c r="M220">
        <v>5</v>
      </c>
      <c r="N220" t="s">
        <v>16</v>
      </c>
      <c r="O220" t="s">
        <v>17</v>
      </c>
    </row>
    <row r="221" spans="3:15" ht="15.75" x14ac:dyDescent="0.25">
      <c r="C221" t="s">
        <v>248</v>
      </c>
      <c r="D221" t="s">
        <v>341</v>
      </c>
      <c r="E221" t="s">
        <v>428</v>
      </c>
      <c r="F221" t="s">
        <v>15</v>
      </c>
      <c r="G221" s="1">
        <v>8.9</v>
      </c>
      <c r="H221">
        <f t="shared" si="9"/>
        <v>4.45</v>
      </c>
      <c r="I221">
        <f t="shared" si="10"/>
        <v>7.120000000000001</v>
      </c>
      <c r="J221">
        <f t="shared" si="11"/>
        <v>6.2299999999999995</v>
      </c>
      <c r="L221">
        <v>20</v>
      </c>
      <c r="M221">
        <v>5</v>
      </c>
      <c r="N221" t="s">
        <v>16</v>
      </c>
      <c r="O221" t="s">
        <v>17</v>
      </c>
    </row>
    <row r="222" spans="3:15" ht="15.75" x14ac:dyDescent="0.25">
      <c r="C222" t="s">
        <v>249</v>
      </c>
      <c r="D222" t="s">
        <v>341</v>
      </c>
      <c r="E222" t="s">
        <v>429</v>
      </c>
      <c r="F222" t="s">
        <v>15</v>
      </c>
      <c r="G222" s="1">
        <v>4.5</v>
      </c>
      <c r="H222">
        <f t="shared" si="9"/>
        <v>2.25</v>
      </c>
      <c r="I222">
        <f t="shared" si="10"/>
        <v>3.6</v>
      </c>
      <c r="J222">
        <f t="shared" si="11"/>
        <v>3.15</v>
      </c>
      <c r="L222">
        <v>20</v>
      </c>
      <c r="M222">
        <v>5</v>
      </c>
      <c r="N222" t="s">
        <v>16</v>
      </c>
      <c r="O222" t="s">
        <v>17</v>
      </c>
    </row>
    <row r="223" spans="3:15" ht="15.75" x14ac:dyDescent="0.25">
      <c r="C223" t="s">
        <v>250</v>
      </c>
      <c r="D223" t="s">
        <v>341</v>
      </c>
      <c r="E223" t="s">
        <v>429</v>
      </c>
      <c r="F223" t="s">
        <v>15</v>
      </c>
      <c r="G223" s="1">
        <v>7.9</v>
      </c>
      <c r="H223">
        <f t="shared" si="9"/>
        <v>3.95</v>
      </c>
      <c r="I223">
        <f t="shared" si="10"/>
        <v>6.32</v>
      </c>
      <c r="J223">
        <f t="shared" si="11"/>
        <v>5.53</v>
      </c>
      <c r="L223">
        <v>20</v>
      </c>
      <c r="M223">
        <v>5</v>
      </c>
      <c r="N223" t="s">
        <v>16</v>
      </c>
      <c r="O223" t="s">
        <v>17</v>
      </c>
    </row>
    <row r="224" spans="3:15" ht="15.75" x14ac:dyDescent="0.25">
      <c r="C224" t="s">
        <v>251</v>
      </c>
      <c r="D224" t="s">
        <v>341</v>
      </c>
      <c r="E224" t="s">
        <v>430</v>
      </c>
      <c r="F224" t="s">
        <v>15</v>
      </c>
      <c r="G224" s="1">
        <v>14</v>
      </c>
      <c r="H224">
        <f t="shared" si="9"/>
        <v>7</v>
      </c>
      <c r="I224">
        <f t="shared" si="10"/>
        <v>11.200000000000001</v>
      </c>
      <c r="J224">
        <f t="shared" si="11"/>
        <v>9.7999999999999989</v>
      </c>
      <c r="L224">
        <v>20</v>
      </c>
      <c r="M224">
        <v>5</v>
      </c>
      <c r="N224" t="s">
        <v>16</v>
      </c>
      <c r="O224" t="s">
        <v>17</v>
      </c>
    </row>
    <row r="225" spans="3:15" ht="15.75" x14ac:dyDescent="0.25">
      <c r="C225" t="s">
        <v>252</v>
      </c>
      <c r="D225" t="s">
        <v>341</v>
      </c>
      <c r="E225" t="s">
        <v>424</v>
      </c>
      <c r="F225" t="s">
        <v>15</v>
      </c>
      <c r="G225" s="1">
        <v>6.9</v>
      </c>
      <c r="H225">
        <f t="shared" si="9"/>
        <v>3.45</v>
      </c>
      <c r="I225">
        <f t="shared" si="10"/>
        <v>5.5200000000000005</v>
      </c>
      <c r="J225">
        <f t="shared" si="11"/>
        <v>4.83</v>
      </c>
      <c r="L225">
        <v>20</v>
      </c>
      <c r="M225">
        <v>5</v>
      </c>
      <c r="N225" t="s">
        <v>16</v>
      </c>
      <c r="O225" t="s">
        <v>17</v>
      </c>
    </row>
    <row r="226" spans="3:15" ht="15.75" x14ac:dyDescent="0.25">
      <c r="C226" t="s">
        <v>253</v>
      </c>
      <c r="D226" t="s">
        <v>341</v>
      </c>
      <c r="E226" t="s">
        <v>424</v>
      </c>
      <c r="F226" t="s">
        <v>15</v>
      </c>
      <c r="G226" s="1">
        <v>13</v>
      </c>
      <c r="H226">
        <f t="shared" si="9"/>
        <v>6.5</v>
      </c>
      <c r="I226">
        <f t="shared" si="10"/>
        <v>10.4</v>
      </c>
      <c r="J226">
        <f t="shared" si="11"/>
        <v>9.1</v>
      </c>
      <c r="L226">
        <v>20</v>
      </c>
      <c r="M226">
        <v>5</v>
      </c>
      <c r="N226" t="s">
        <v>16</v>
      </c>
      <c r="O226" t="s">
        <v>17</v>
      </c>
    </row>
    <row r="227" spans="3:15" ht="15.75" x14ac:dyDescent="0.25">
      <c r="C227" t="s">
        <v>254</v>
      </c>
      <c r="D227" t="s">
        <v>341</v>
      </c>
      <c r="E227" t="s">
        <v>18</v>
      </c>
      <c r="F227" t="s">
        <v>15</v>
      </c>
      <c r="G227" s="1">
        <v>4.9000000000000004</v>
      </c>
      <c r="H227">
        <f t="shared" si="9"/>
        <v>2.4500000000000002</v>
      </c>
      <c r="I227">
        <f t="shared" si="10"/>
        <v>3.9200000000000004</v>
      </c>
      <c r="J227">
        <f t="shared" si="11"/>
        <v>3.43</v>
      </c>
      <c r="L227">
        <v>20</v>
      </c>
      <c r="M227">
        <v>5</v>
      </c>
      <c r="N227" t="s">
        <v>16</v>
      </c>
      <c r="O227" t="s">
        <v>17</v>
      </c>
    </row>
    <row r="228" spans="3:15" ht="15.75" x14ac:dyDescent="0.25">
      <c r="C228" t="s">
        <v>255</v>
      </c>
      <c r="D228" t="s">
        <v>341</v>
      </c>
      <c r="E228" t="s">
        <v>18</v>
      </c>
      <c r="F228" t="s">
        <v>15</v>
      </c>
      <c r="G228" s="1">
        <v>4.9000000000000004</v>
      </c>
      <c r="H228">
        <f t="shared" si="9"/>
        <v>2.4500000000000002</v>
      </c>
      <c r="I228">
        <f t="shared" si="10"/>
        <v>3.9200000000000004</v>
      </c>
      <c r="J228">
        <f t="shared" si="11"/>
        <v>3.43</v>
      </c>
      <c r="L228">
        <v>20</v>
      </c>
      <c r="M228">
        <v>5</v>
      </c>
      <c r="N228" t="s">
        <v>16</v>
      </c>
      <c r="O228" t="s">
        <v>17</v>
      </c>
    </row>
    <row r="229" spans="3:15" ht="15.75" x14ac:dyDescent="0.25">
      <c r="C229" t="s">
        <v>256</v>
      </c>
      <c r="D229" t="s">
        <v>341</v>
      </c>
      <c r="E229" t="s">
        <v>431</v>
      </c>
      <c r="F229" t="s">
        <v>15</v>
      </c>
      <c r="G229" s="1">
        <v>14</v>
      </c>
      <c r="H229">
        <f t="shared" si="9"/>
        <v>7</v>
      </c>
      <c r="I229">
        <f t="shared" si="10"/>
        <v>11.200000000000001</v>
      </c>
      <c r="J229">
        <f t="shared" si="11"/>
        <v>9.7999999999999989</v>
      </c>
      <c r="L229">
        <v>20</v>
      </c>
      <c r="M229">
        <v>5</v>
      </c>
      <c r="N229" t="s">
        <v>16</v>
      </c>
      <c r="O229" t="s">
        <v>17</v>
      </c>
    </row>
    <row r="230" spans="3:15" ht="15.75" x14ac:dyDescent="0.25">
      <c r="C230" t="s">
        <v>257</v>
      </c>
      <c r="D230" t="s">
        <v>341</v>
      </c>
      <c r="E230" t="s">
        <v>431</v>
      </c>
      <c r="F230" t="s">
        <v>15</v>
      </c>
      <c r="G230" s="1">
        <v>14</v>
      </c>
      <c r="H230">
        <f t="shared" si="9"/>
        <v>7</v>
      </c>
      <c r="I230">
        <f t="shared" si="10"/>
        <v>11.200000000000001</v>
      </c>
      <c r="J230">
        <f t="shared" si="11"/>
        <v>9.7999999999999989</v>
      </c>
      <c r="L230">
        <v>20</v>
      </c>
      <c r="M230">
        <v>5</v>
      </c>
      <c r="N230" t="s">
        <v>16</v>
      </c>
      <c r="O230" t="s">
        <v>17</v>
      </c>
    </row>
    <row r="231" spans="3:15" ht="15.75" x14ac:dyDescent="0.25">
      <c r="C231" t="s">
        <v>258</v>
      </c>
      <c r="D231" t="s">
        <v>341</v>
      </c>
      <c r="E231" t="s">
        <v>431</v>
      </c>
      <c r="F231" t="s">
        <v>15</v>
      </c>
      <c r="G231" s="1">
        <v>14</v>
      </c>
      <c r="H231">
        <f t="shared" si="9"/>
        <v>7</v>
      </c>
      <c r="I231">
        <f t="shared" si="10"/>
        <v>11.200000000000001</v>
      </c>
      <c r="J231">
        <f t="shared" si="11"/>
        <v>9.7999999999999989</v>
      </c>
      <c r="L231">
        <v>20</v>
      </c>
      <c r="M231">
        <v>5</v>
      </c>
      <c r="N231" t="s">
        <v>16</v>
      </c>
      <c r="O231" t="s">
        <v>17</v>
      </c>
    </row>
    <row r="232" spans="3:15" ht="15.75" x14ac:dyDescent="0.25">
      <c r="C232" t="s">
        <v>259</v>
      </c>
      <c r="D232" t="s">
        <v>341</v>
      </c>
      <c r="E232" t="s">
        <v>432</v>
      </c>
      <c r="F232" t="s">
        <v>15</v>
      </c>
      <c r="G232" s="1">
        <v>6.9</v>
      </c>
      <c r="H232">
        <f t="shared" si="9"/>
        <v>3.45</v>
      </c>
      <c r="I232">
        <f t="shared" si="10"/>
        <v>5.5200000000000005</v>
      </c>
      <c r="J232">
        <f t="shared" si="11"/>
        <v>4.83</v>
      </c>
      <c r="L232">
        <v>20</v>
      </c>
      <c r="M232">
        <v>5</v>
      </c>
      <c r="N232" t="s">
        <v>16</v>
      </c>
      <c r="O232" t="s">
        <v>17</v>
      </c>
    </row>
    <row r="233" spans="3:15" ht="15.75" x14ac:dyDescent="0.25">
      <c r="C233" t="s">
        <v>260</v>
      </c>
      <c r="D233" t="s">
        <v>341</v>
      </c>
      <c r="E233" t="s">
        <v>432</v>
      </c>
      <c r="F233" t="s">
        <v>15</v>
      </c>
      <c r="G233" s="1">
        <v>6.9</v>
      </c>
      <c r="H233">
        <f t="shared" si="9"/>
        <v>3.45</v>
      </c>
      <c r="I233">
        <f t="shared" si="10"/>
        <v>5.5200000000000005</v>
      </c>
      <c r="J233">
        <f t="shared" si="11"/>
        <v>4.83</v>
      </c>
      <c r="L233">
        <v>20</v>
      </c>
      <c r="M233">
        <v>5</v>
      </c>
      <c r="N233" t="s">
        <v>16</v>
      </c>
      <c r="O233" t="s">
        <v>17</v>
      </c>
    </row>
    <row r="234" spans="3:15" ht="15.75" x14ac:dyDescent="0.25">
      <c r="C234" t="s">
        <v>261</v>
      </c>
      <c r="D234" t="s">
        <v>341</v>
      </c>
      <c r="E234" t="s">
        <v>432</v>
      </c>
      <c r="F234" t="s">
        <v>15</v>
      </c>
      <c r="G234" s="1">
        <v>6.9</v>
      </c>
      <c r="H234">
        <f t="shared" si="9"/>
        <v>3.45</v>
      </c>
      <c r="I234">
        <f t="shared" si="10"/>
        <v>5.5200000000000005</v>
      </c>
      <c r="J234">
        <f t="shared" si="11"/>
        <v>4.83</v>
      </c>
      <c r="L234">
        <v>20</v>
      </c>
      <c r="M234">
        <v>5</v>
      </c>
      <c r="N234" t="s">
        <v>16</v>
      </c>
      <c r="O234" t="s">
        <v>17</v>
      </c>
    </row>
    <row r="235" spans="3:15" ht="15.75" x14ac:dyDescent="0.25">
      <c r="C235" t="s">
        <v>262</v>
      </c>
      <c r="D235" t="s">
        <v>341</v>
      </c>
      <c r="E235" t="s">
        <v>18</v>
      </c>
      <c r="F235" t="s">
        <v>15</v>
      </c>
      <c r="G235" s="1">
        <v>4.5</v>
      </c>
      <c r="H235">
        <f t="shared" si="9"/>
        <v>2.25</v>
      </c>
      <c r="I235">
        <f t="shared" si="10"/>
        <v>3.6</v>
      </c>
      <c r="J235">
        <f t="shared" si="11"/>
        <v>3.15</v>
      </c>
      <c r="L235">
        <v>20</v>
      </c>
      <c r="M235">
        <v>5</v>
      </c>
      <c r="N235" t="s">
        <v>16</v>
      </c>
      <c r="O235" t="s">
        <v>17</v>
      </c>
    </row>
    <row r="236" spans="3:15" ht="15.75" x14ac:dyDescent="0.25">
      <c r="C236" t="s">
        <v>263</v>
      </c>
      <c r="D236" t="s">
        <v>341</v>
      </c>
      <c r="E236" t="s">
        <v>18</v>
      </c>
      <c r="F236" t="s">
        <v>15</v>
      </c>
      <c r="G236" s="1">
        <v>4.5</v>
      </c>
      <c r="H236">
        <f t="shared" si="9"/>
        <v>2.25</v>
      </c>
      <c r="I236">
        <f t="shared" si="10"/>
        <v>3.6</v>
      </c>
      <c r="J236">
        <f t="shared" si="11"/>
        <v>3.15</v>
      </c>
      <c r="L236">
        <v>20</v>
      </c>
      <c r="M236">
        <v>5</v>
      </c>
      <c r="N236" t="s">
        <v>16</v>
      </c>
      <c r="O236" t="s">
        <v>17</v>
      </c>
    </row>
    <row r="237" spans="3:15" ht="15.75" x14ac:dyDescent="0.25">
      <c r="C237" t="s">
        <v>264</v>
      </c>
      <c r="D237" t="s">
        <v>341</v>
      </c>
      <c r="E237" t="s">
        <v>18</v>
      </c>
      <c r="F237" t="s">
        <v>15</v>
      </c>
      <c r="G237" s="1">
        <v>4.5</v>
      </c>
      <c r="H237">
        <f t="shared" si="9"/>
        <v>2.25</v>
      </c>
      <c r="I237">
        <f t="shared" si="10"/>
        <v>3.6</v>
      </c>
      <c r="J237">
        <f t="shared" si="11"/>
        <v>3.15</v>
      </c>
      <c r="L237">
        <v>20</v>
      </c>
      <c r="M237">
        <v>5</v>
      </c>
      <c r="N237" t="s">
        <v>16</v>
      </c>
      <c r="O237" t="s">
        <v>17</v>
      </c>
    </row>
    <row r="238" spans="3:15" ht="15.75" x14ac:dyDescent="0.25">
      <c r="C238" t="s">
        <v>265</v>
      </c>
      <c r="D238" t="s">
        <v>341</v>
      </c>
      <c r="E238" t="s">
        <v>424</v>
      </c>
      <c r="F238" t="s">
        <v>15</v>
      </c>
      <c r="G238" s="1">
        <v>6.9</v>
      </c>
      <c r="H238">
        <f t="shared" si="9"/>
        <v>3.45</v>
      </c>
      <c r="I238">
        <f t="shared" si="10"/>
        <v>5.5200000000000005</v>
      </c>
      <c r="J238">
        <f t="shared" si="11"/>
        <v>4.83</v>
      </c>
      <c r="L238">
        <v>20</v>
      </c>
      <c r="M238">
        <v>5</v>
      </c>
      <c r="N238" t="s">
        <v>16</v>
      </c>
      <c r="O238" t="s">
        <v>17</v>
      </c>
    </row>
    <row r="239" spans="3:15" ht="15.75" x14ac:dyDescent="0.25">
      <c r="C239" t="s">
        <v>266</v>
      </c>
      <c r="D239" t="s">
        <v>341</v>
      </c>
      <c r="E239" t="s">
        <v>424</v>
      </c>
      <c r="F239" t="s">
        <v>15</v>
      </c>
      <c r="G239" s="1">
        <v>14</v>
      </c>
      <c r="H239">
        <f t="shared" si="9"/>
        <v>7</v>
      </c>
      <c r="I239">
        <f t="shared" si="10"/>
        <v>11.200000000000001</v>
      </c>
      <c r="J239">
        <f t="shared" si="11"/>
        <v>9.7999999999999989</v>
      </c>
      <c r="L239">
        <v>20</v>
      </c>
      <c r="M239">
        <v>5</v>
      </c>
      <c r="N239" t="s">
        <v>16</v>
      </c>
      <c r="O239" t="s">
        <v>17</v>
      </c>
    </row>
    <row r="240" spans="3:15" ht="15.75" x14ac:dyDescent="0.25">
      <c r="C240" t="s">
        <v>267</v>
      </c>
      <c r="D240" t="s">
        <v>341</v>
      </c>
      <c r="E240" t="s">
        <v>433</v>
      </c>
      <c r="F240" t="s">
        <v>15</v>
      </c>
      <c r="G240" s="1">
        <v>4.9000000000000004</v>
      </c>
      <c r="H240">
        <f t="shared" si="9"/>
        <v>2.4500000000000002</v>
      </c>
      <c r="I240">
        <f t="shared" si="10"/>
        <v>3.9200000000000004</v>
      </c>
      <c r="J240">
        <f t="shared" si="11"/>
        <v>3.43</v>
      </c>
      <c r="L240">
        <v>20</v>
      </c>
      <c r="M240">
        <v>5</v>
      </c>
      <c r="N240" t="s">
        <v>16</v>
      </c>
      <c r="O240" t="s">
        <v>17</v>
      </c>
    </row>
    <row r="241" spans="3:15" ht="15.75" x14ac:dyDescent="0.25">
      <c r="C241" t="s">
        <v>268</v>
      </c>
      <c r="D241" t="s">
        <v>341</v>
      </c>
      <c r="E241" t="s">
        <v>433</v>
      </c>
      <c r="F241" t="s">
        <v>15</v>
      </c>
      <c r="G241" s="1">
        <v>7.9</v>
      </c>
      <c r="H241">
        <f t="shared" si="9"/>
        <v>3.95</v>
      </c>
      <c r="I241">
        <f t="shared" si="10"/>
        <v>6.32</v>
      </c>
      <c r="J241">
        <f t="shared" si="11"/>
        <v>5.53</v>
      </c>
      <c r="L241">
        <v>20</v>
      </c>
      <c r="M241">
        <v>5</v>
      </c>
      <c r="N241" t="s">
        <v>16</v>
      </c>
      <c r="O241" t="s">
        <v>17</v>
      </c>
    </row>
    <row r="242" spans="3:15" ht="15.75" x14ac:dyDescent="0.25">
      <c r="C242" t="s">
        <v>269</v>
      </c>
      <c r="D242" t="s">
        <v>341</v>
      </c>
      <c r="E242" t="s">
        <v>434</v>
      </c>
      <c r="F242" t="s">
        <v>15</v>
      </c>
      <c r="G242" s="1">
        <v>4.9000000000000004</v>
      </c>
      <c r="H242">
        <f t="shared" si="9"/>
        <v>2.4500000000000002</v>
      </c>
      <c r="I242">
        <f t="shared" si="10"/>
        <v>3.9200000000000004</v>
      </c>
      <c r="J242">
        <f t="shared" si="11"/>
        <v>3.43</v>
      </c>
      <c r="L242">
        <v>20</v>
      </c>
      <c r="M242">
        <v>5</v>
      </c>
      <c r="N242" t="s">
        <v>16</v>
      </c>
      <c r="O242" t="s">
        <v>17</v>
      </c>
    </row>
    <row r="243" spans="3:15" ht="15.75" x14ac:dyDescent="0.25">
      <c r="C243" t="s">
        <v>270</v>
      </c>
      <c r="D243" t="s">
        <v>341</v>
      </c>
      <c r="E243" t="s">
        <v>434</v>
      </c>
      <c r="F243" t="s">
        <v>15</v>
      </c>
      <c r="G243" s="1">
        <v>7.9</v>
      </c>
      <c r="H243">
        <f t="shared" si="9"/>
        <v>3.95</v>
      </c>
      <c r="I243">
        <f t="shared" si="10"/>
        <v>6.32</v>
      </c>
      <c r="J243">
        <f t="shared" si="11"/>
        <v>5.53</v>
      </c>
      <c r="L243">
        <v>20</v>
      </c>
      <c r="M243">
        <v>5</v>
      </c>
      <c r="N243" t="s">
        <v>16</v>
      </c>
      <c r="O243" t="s">
        <v>17</v>
      </c>
    </row>
    <row r="244" spans="3:15" ht="15.75" x14ac:dyDescent="0.25">
      <c r="C244" t="s">
        <v>271</v>
      </c>
      <c r="D244" t="s">
        <v>341</v>
      </c>
      <c r="E244" t="s">
        <v>435</v>
      </c>
      <c r="F244" t="s">
        <v>15</v>
      </c>
      <c r="G244" s="1">
        <v>5.9</v>
      </c>
      <c r="H244">
        <f t="shared" si="9"/>
        <v>2.95</v>
      </c>
      <c r="I244">
        <f t="shared" si="10"/>
        <v>4.7200000000000006</v>
      </c>
      <c r="J244">
        <f t="shared" si="11"/>
        <v>4.13</v>
      </c>
      <c r="L244">
        <v>20</v>
      </c>
      <c r="M244">
        <v>5</v>
      </c>
      <c r="N244" t="s">
        <v>16</v>
      </c>
      <c r="O244" t="s">
        <v>17</v>
      </c>
    </row>
    <row r="245" spans="3:15" ht="15.75" x14ac:dyDescent="0.25">
      <c r="C245" t="s">
        <v>272</v>
      </c>
      <c r="D245" t="s">
        <v>341</v>
      </c>
      <c r="E245" t="s">
        <v>435</v>
      </c>
      <c r="F245" t="s">
        <v>15</v>
      </c>
      <c r="G245" s="1">
        <v>7.9</v>
      </c>
      <c r="H245">
        <f t="shared" si="9"/>
        <v>3.95</v>
      </c>
      <c r="I245">
        <f t="shared" si="10"/>
        <v>6.32</v>
      </c>
      <c r="J245">
        <f t="shared" si="11"/>
        <v>5.53</v>
      </c>
      <c r="L245">
        <v>20</v>
      </c>
      <c r="M245">
        <v>5</v>
      </c>
      <c r="N245" t="s">
        <v>16</v>
      </c>
      <c r="O245" t="s">
        <v>17</v>
      </c>
    </row>
    <row r="246" spans="3:15" ht="15.75" x14ac:dyDescent="0.25">
      <c r="C246" t="s">
        <v>273</v>
      </c>
      <c r="D246" t="s">
        <v>341</v>
      </c>
      <c r="E246" t="s">
        <v>432</v>
      </c>
      <c r="F246" t="s">
        <v>15</v>
      </c>
      <c r="G246" s="1">
        <v>6.9</v>
      </c>
      <c r="H246">
        <f t="shared" si="9"/>
        <v>3.45</v>
      </c>
      <c r="I246">
        <f t="shared" si="10"/>
        <v>5.5200000000000005</v>
      </c>
      <c r="J246">
        <f t="shared" si="11"/>
        <v>4.83</v>
      </c>
      <c r="L246">
        <v>20</v>
      </c>
      <c r="M246">
        <v>5</v>
      </c>
      <c r="N246" t="s">
        <v>16</v>
      </c>
      <c r="O246" t="s">
        <v>17</v>
      </c>
    </row>
    <row r="247" spans="3:15" ht="15.75" x14ac:dyDescent="0.25">
      <c r="C247" t="s">
        <v>274</v>
      </c>
      <c r="D247" t="s">
        <v>341</v>
      </c>
      <c r="E247" t="s">
        <v>432</v>
      </c>
      <c r="F247" t="s">
        <v>15</v>
      </c>
      <c r="G247" s="1">
        <v>6.9</v>
      </c>
      <c r="H247">
        <f t="shared" si="9"/>
        <v>3.45</v>
      </c>
      <c r="I247">
        <f t="shared" si="10"/>
        <v>5.5200000000000005</v>
      </c>
      <c r="J247">
        <f t="shared" si="11"/>
        <v>4.83</v>
      </c>
      <c r="L247">
        <v>20</v>
      </c>
      <c r="M247">
        <v>5</v>
      </c>
      <c r="N247" t="s">
        <v>16</v>
      </c>
      <c r="O247" t="s">
        <v>17</v>
      </c>
    </row>
    <row r="248" spans="3:15" ht="15.75" x14ac:dyDescent="0.25">
      <c r="C248" t="s">
        <v>275</v>
      </c>
      <c r="D248" t="s">
        <v>341</v>
      </c>
      <c r="E248" t="s">
        <v>432</v>
      </c>
      <c r="F248" t="s">
        <v>15</v>
      </c>
      <c r="G248" s="1">
        <v>6.9</v>
      </c>
      <c r="H248">
        <f t="shared" si="9"/>
        <v>3.45</v>
      </c>
      <c r="I248">
        <f t="shared" si="10"/>
        <v>5.5200000000000005</v>
      </c>
      <c r="J248">
        <f t="shared" si="11"/>
        <v>4.83</v>
      </c>
      <c r="L248">
        <v>20</v>
      </c>
      <c r="M248">
        <v>5</v>
      </c>
      <c r="N248" t="s">
        <v>16</v>
      </c>
      <c r="O248" t="s">
        <v>17</v>
      </c>
    </row>
    <row r="249" spans="3:15" ht="15.75" x14ac:dyDescent="0.25">
      <c r="C249" t="s">
        <v>276</v>
      </c>
      <c r="D249" t="s">
        <v>341</v>
      </c>
      <c r="E249" t="s">
        <v>432</v>
      </c>
      <c r="F249" t="s">
        <v>15</v>
      </c>
      <c r="G249" s="1">
        <v>6.9</v>
      </c>
      <c r="H249">
        <f t="shared" si="9"/>
        <v>3.45</v>
      </c>
      <c r="I249">
        <f t="shared" si="10"/>
        <v>5.5200000000000005</v>
      </c>
      <c r="J249">
        <f t="shared" si="11"/>
        <v>4.83</v>
      </c>
      <c r="L249">
        <v>20</v>
      </c>
      <c r="M249">
        <v>5</v>
      </c>
      <c r="N249" t="s">
        <v>16</v>
      </c>
      <c r="O249" t="s">
        <v>17</v>
      </c>
    </row>
    <row r="250" spans="3:15" ht="15.75" x14ac:dyDescent="0.25">
      <c r="C250" t="s">
        <v>277</v>
      </c>
      <c r="D250" t="s">
        <v>341</v>
      </c>
      <c r="E250" t="s">
        <v>351</v>
      </c>
      <c r="F250" t="s">
        <v>15</v>
      </c>
      <c r="G250" s="1">
        <v>6.9</v>
      </c>
      <c r="H250">
        <f t="shared" si="9"/>
        <v>3.45</v>
      </c>
      <c r="I250">
        <f t="shared" si="10"/>
        <v>5.5200000000000005</v>
      </c>
      <c r="J250">
        <f t="shared" si="11"/>
        <v>4.83</v>
      </c>
      <c r="L250">
        <v>20</v>
      </c>
      <c r="M250">
        <v>5</v>
      </c>
      <c r="N250" t="s">
        <v>16</v>
      </c>
      <c r="O250" t="s">
        <v>17</v>
      </c>
    </row>
    <row r="251" spans="3:15" ht="15.75" x14ac:dyDescent="0.25">
      <c r="C251" t="s">
        <v>278</v>
      </c>
      <c r="D251" t="s">
        <v>341</v>
      </c>
      <c r="E251" t="s">
        <v>351</v>
      </c>
      <c r="F251" t="s">
        <v>15</v>
      </c>
      <c r="G251" s="1">
        <v>6.9</v>
      </c>
      <c r="H251">
        <f t="shared" si="9"/>
        <v>3.45</v>
      </c>
      <c r="I251">
        <f t="shared" si="10"/>
        <v>5.5200000000000005</v>
      </c>
      <c r="J251">
        <f t="shared" si="11"/>
        <v>4.83</v>
      </c>
      <c r="L251">
        <v>20</v>
      </c>
      <c r="M251">
        <v>5</v>
      </c>
      <c r="N251" t="s">
        <v>16</v>
      </c>
      <c r="O251" t="s">
        <v>17</v>
      </c>
    </row>
    <row r="252" spans="3:15" ht="15.75" x14ac:dyDescent="0.25">
      <c r="C252" t="s">
        <v>279</v>
      </c>
      <c r="D252" t="s">
        <v>341</v>
      </c>
      <c r="E252" t="s">
        <v>351</v>
      </c>
      <c r="F252" t="s">
        <v>15</v>
      </c>
      <c r="G252" s="1">
        <v>6.9</v>
      </c>
      <c r="H252">
        <f t="shared" si="9"/>
        <v>3.45</v>
      </c>
      <c r="I252">
        <f t="shared" si="10"/>
        <v>5.5200000000000005</v>
      </c>
      <c r="J252">
        <f t="shared" si="11"/>
        <v>4.83</v>
      </c>
      <c r="L252">
        <v>20</v>
      </c>
      <c r="M252">
        <v>5</v>
      </c>
      <c r="N252" t="s">
        <v>16</v>
      </c>
      <c r="O252" t="s">
        <v>17</v>
      </c>
    </row>
    <row r="253" spans="3:15" ht="15.75" x14ac:dyDescent="0.25">
      <c r="C253" t="s">
        <v>280</v>
      </c>
      <c r="D253" t="s">
        <v>341</v>
      </c>
      <c r="E253" t="s">
        <v>351</v>
      </c>
      <c r="F253" t="s">
        <v>15</v>
      </c>
      <c r="G253" s="1">
        <v>6.9</v>
      </c>
      <c r="H253">
        <f t="shared" si="9"/>
        <v>3.45</v>
      </c>
      <c r="I253">
        <f t="shared" si="10"/>
        <v>5.5200000000000005</v>
      </c>
      <c r="J253">
        <f t="shared" si="11"/>
        <v>4.83</v>
      </c>
      <c r="L253">
        <v>20</v>
      </c>
      <c r="M253">
        <v>5</v>
      </c>
      <c r="N253" t="s">
        <v>16</v>
      </c>
      <c r="O253" t="s">
        <v>17</v>
      </c>
    </row>
    <row r="254" spans="3:15" ht="15.75" x14ac:dyDescent="0.25">
      <c r="C254" t="s">
        <v>281</v>
      </c>
      <c r="D254" t="s">
        <v>341</v>
      </c>
      <c r="E254" t="s">
        <v>351</v>
      </c>
      <c r="F254" t="s">
        <v>15</v>
      </c>
      <c r="G254" s="1">
        <v>6.9</v>
      </c>
      <c r="H254">
        <f t="shared" si="9"/>
        <v>3.45</v>
      </c>
      <c r="I254">
        <f t="shared" si="10"/>
        <v>5.5200000000000005</v>
      </c>
      <c r="J254">
        <f t="shared" si="11"/>
        <v>4.83</v>
      </c>
      <c r="L254">
        <v>20</v>
      </c>
      <c r="M254">
        <v>5</v>
      </c>
      <c r="N254" t="s">
        <v>16</v>
      </c>
      <c r="O254" t="s">
        <v>17</v>
      </c>
    </row>
    <row r="255" spans="3:15" ht="15.75" x14ac:dyDescent="0.25">
      <c r="C255" t="s">
        <v>282</v>
      </c>
      <c r="D255" t="s">
        <v>341</v>
      </c>
      <c r="E255" t="s">
        <v>351</v>
      </c>
      <c r="F255" t="s">
        <v>15</v>
      </c>
      <c r="G255" s="1">
        <v>6.9</v>
      </c>
      <c r="H255">
        <f t="shared" si="9"/>
        <v>3.45</v>
      </c>
      <c r="I255">
        <f t="shared" si="10"/>
        <v>5.5200000000000005</v>
      </c>
      <c r="J255">
        <f t="shared" si="11"/>
        <v>4.83</v>
      </c>
      <c r="L255">
        <v>20</v>
      </c>
      <c r="M255">
        <v>5</v>
      </c>
      <c r="N255" t="s">
        <v>16</v>
      </c>
      <c r="O255" t="s">
        <v>17</v>
      </c>
    </row>
    <row r="256" spans="3:15" ht="15.75" x14ac:dyDescent="0.25">
      <c r="C256" t="s">
        <v>283</v>
      </c>
      <c r="D256" t="s">
        <v>341</v>
      </c>
      <c r="E256" t="s">
        <v>351</v>
      </c>
      <c r="F256" t="s">
        <v>15</v>
      </c>
      <c r="G256" s="1">
        <v>6.9</v>
      </c>
      <c r="H256">
        <f t="shared" si="9"/>
        <v>3.45</v>
      </c>
      <c r="I256">
        <f t="shared" si="10"/>
        <v>5.5200000000000005</v>
      </c>
      <c r="J256">
        <f t="shared" si="11"/>
        <v>4.83</v>
      </c>
      <c r="L256">
        <v>20</v>
      </c>
      <c r="M256">
        <v>5</v>
      </c>
      <c r="N256" t="s">
        <v>16</v>
      </c>
      <c r="O256" t="s">
        <v>17</v>
      </c>
    </row>
    <row r="257" spans="3:15" ht="15.75" x14ac:dyDescent="0.25">
      <c r="C257" t="s">
        <v>284</v>
      </c>
      <c r="D257" t="s">
        <v>341</v>
      </c>
      <c r="E257" t="s">
        <v>351</v>
      </c>
      <c r="F257" t="s">
        <v>15</v>
      </c>
      <c r="G257" s="1">
        <v>6.9</v>
      </c>
      <c r="H257">
        <f t="shared" si="9"/>
        <v>3.45</v>
      </c>
      <c r="I257">
        <f t="shared" si="10"/>
        <v>5.5200000000000005</v>
      </c>
      <c r="J257">
        <f t="shared" si="11"/>
        <v>4.83</v>
      </c>
      <c r="L257">
        <v>20</v>
      </c>
      <c r="M257">
        <v>5</v>
      </c>
      <c r="N257" t="s">
        <v>16</v>
      </c>
      <c r="O257" t="s">
        <v>17</v>
      </c>
    </row>
    <row r="258" spans="3:15" ht="15.75" x14ac:dyDescent="0.25">
      <c r="C258" t="s">
        <v>285</v>
      </c>
      <c r="D258" t="s">
        <v>341</v>
      </c>
      <c r="E258" t="s">
        <v>351</v>
      </c>
      <c r="F258" t="s">
        <v>15</v>
      </c>
      <c r="G258" s="1">
        <v>6.9</v>
      </c>
      <c r="H258">
        <f t="shared" si="9"/>
        <v>3.45</v>
      </c>
      <c r="I258">
        <f t="shared" si="10"/>
        <v>5.5200000000000005</v>
      </c>
      <c r="J258">
        <f t="shared" si="11"/>
        <v>4.83</v>
      </c>
      <c r="L258">
        <v>20</v>
      </c>
      <c r="M258">
        <v>5</v>
      </c>
      <c r="N258" t="s">
        <v>16</v>
      </c>
      <c r="O258" t="s">
        <v>17</v>
      </c>
    </row>
    <row r="259" spans="3:15" ht="15.75" x14ac:dyDescent="0.25">
      <c r="C259" t="s">
        <v>286</v>
      </c>
      <c r="D259" t="s">
        <v>341</v>
      </c>
      <c r="E259" t="s">
        <v>351</v>
      </c>
      <c r="F259" t="s">
        <v>15</v>
      </c>
      <c r="G259" s="1">
        <v>6.9</v>
      </c>
      <c r="H259">
        <f t="shared" ref="H259:H310" si="12">G259*0.5</f>
        <v>3.45</v>
      </c>
      <c r="I259">
        <f t="shared" ref="I259:I310" si="13">G259*0.8</f>
        <v>5.5200000000000005</v>
      </c>
      <c r="J259">
        <f t="shared" ref="J259:J310" si="14">G259*0.7</f>
        <v>4.83</v>
      </c>
      <c r="L259">
        <v>20</v>
      </c>
      <c r="M259">
        <v>5</v>
      </c>
      <c r="N259" t="s">
        <v>16</v>
      </c>
      <c r="O259" t="s">
        <v>17</v>
      </c>
    </row>
    <row r="260" spans="3:15" ht="15.75" x14ac:dyDescent="0.25">
      <c r="C260" t="s">
        <v>287</v>
      </c>
      <c r="D260" t="s">
        <v>341</v>
      </c>
      <c r="E260" t="s">
        <v>351</v>
      </c>
      <c r="F260" t="s">
        <v>15</v>
      </c>
      <c r="G260" s="1">
        <v>6.9</v>
      </c>
      <c r="H260">
        <f t="shared" si="12"/>
        <v>3.45</v>
      </c>
      <c r="I260">
        <f t="shared" si="13"/>
        <v>5.5200000000000005</v>
      </c>
      <c r="J260">
        <f t="shared" si="14"/>
        <v>4.83</v>
      </c>
      <c r="L260">
        <v>20</v>
      </c>
      <c r="M260">
        <v>5</v>
      </c>
      <c r="N260" t="s">
        <v>16</v>
      </c>
      <c r="O260" t="s">
        <v>17</v>
      </c>
    </row>
    <row r="261" spans="3:15" ht="15.75" x14ac:dyDescent="0.25">
      <c r="C261" t="s">
        <v>288</v>
      </c>
      <c r="D261" t="s">
        <v>341</v>
      </c>
      <c r="E261" t="s">
        <v>436</v>
      </c>
      <c r="F261" t="s">
        <v>15</v>
      </c>
      <c r="G261" s="1">
        <v>5</v>
      </c>
      <c r="H261">
        <f t="shared" si="12"/>
        <v>2.5</v>
      </c>
      <c r="I261">
        <f t="shared" si="13"/>
        <v>4</v>
      </c>
      <c r="J261">
        <f t="shared" si="14"/>
        <v>3.5</v>
      </c>
      <c r="L261">
        <v>20</v>
      </c>
      <c r="M261">
        <v>5</v>
      </c>
      <c r="N261" t="s">
        <v>16</v>
      </c>
      <c r="O261" t="s">
        <v>17</v>
      </c>
    </row>
    <row r="262" spans="3:15" ht="15.75" x14ac:dyDescent="0.25">
      <c r="C262" t="s">
        <v>289</v>
      </c>
      <c r="D262" t="s">
        <v>341</v>
      </c>
      <c r="E262" t="s">
        <v>436</v>
      </c>
      <c r="F262" t="s">
        <v>15</v>
      </c>
      <c r="G262" s="1">
        <v>10</v>
      </c>
      <c r="H262">
        <f t="shared" si="12"/>
        <v>5</v>
      </c>
      <c r="I262">
        <f t="shared" si="13"/>
        <v>8</v>
      </c>
      <c r="J262">
        <f t="shared" si="14"/>
        <v>7</v>
      </c>
      <c r="L262">
        <v>20</v>
      </c>
      <c r="M262">
        <v>5</v>
      </c>
      <c r="N262" t="s">
        <v>16</v>
      </c>
      <c r="O262" t="s">
        <v>17</v>
      </c>
    </row>
    <row r="263" spans="3:15" ht="15.75" x14ac:dyDescent="0.25">
      <c r="C263" t="s">
        <v>290</v>
      </c>
      <c r="D263" t="s">
        <v>341</v>
      </c>
      <c r="E263" t="s">
        <v>437</v>
      </c>
      <c r="F263" t="s">
        <v>15</v>
      </c>
      <c r="G263" s="1">
        <v>9</v>
      </c>
      <c r="H263">
        <f t="shared" si="12"/>
        <v>4.5</v>
      </c>
      <c r="I263">
        <f t="shared" si="13"/>
        <v>7.2</v>
      </c>
      <c r="J263">
        <f t="shared" si="14"/>
        <v>6.3</v>
      </c>
      <c r="L263">
        <v>20</v>
      </c>
      <c r="M263">
        <v>5</v>
      </c>
      <c r="N263" t="s">
        <v>16</v>
      </c>
      <c r="O263" t="s">
        <v>17</v>
      </c>
    </row>
    <row r="264" spans="3:15" ht="15.75" x14ac:dyDescent="0.25">
      <c r="C264" t="s">
        <v>291</v>
      </c>
      <c r="D264" t="s">
        <v>341</v>
      </c>
      <c r="E264" t="s">
        <v>437</v>
      </c>
      <c r="F264" t="s">
        <v>15</v>
      </c>
      <c r="G264" s="1">
        <v>9</v>
      </c>
      <c r="H264">
        <f t="shared" si="12"/>
        <v>4.5</v>
      </c>
      <c r="I264">
        <f t="shared" si="13"/>
        <v>7.2</v>
      </c>
      <c r="J264">
        <f t="shared" si="14"/>
        <v>6.3</v>
      </c>
      <c r="L264">
        <v>20</v>
      </c>
      <c r="M264">
        <v>5</v>
      </c>
      <c r="N264" t="s">
        <v>16</v>
      </c>
      <c r="O264" t="s">
        <v>17</v>
      </c>
    </row>
    <row r="265" spans="3:15" ht="15.75" x14ac:dyDescent="0.25">
      <c r="C265" t="s">
        <v>292</v>
      </c>
      <c r="D265" t="s">
        <v>341</v>
      </c>
      <c r="E265" t="s">
        <v>437</v>
      </c>
      <c r="F265" t="s">
        <v>15</v>
      </c>
      <c r="G265" s="1">
        <v>16</v>
      </c>
      <c r="H265">
        <f t="shared" si="12"/>
        <v>8</v>
      </c>
      <c r="I265">
        <f t="shared" si="13"/>
        <v>12.8</v>
      </c>
      <c r="J265">
        <f t="shared" si="14"/>
        <v>11.2</v>
      </c>
      <c r="L265">
        <v>20</v>
      </c>
      <c r="M265">
        <v>5</v>
      </c>
      <c r="N265" t="s">
        <v>16</v>
      </c>
      <c r="O265" t="s">
        <v>17</v>
      </c>
    </row>
    <row r="266" spans="3:15" ht="15.75" x14ac:dyDescent="0.25">
      <c r="C266" t="s">
        <v>293</v>
      </c>
      <c r="D266" t="s">
        <v>341</v>
      </c>
      <c r="E266" t="s">
        <v>437</v>
      </c>
      <c r="F266" t="s">
        <v>15</v>
      </c>
      <c r="G266" s="1">
        <v>16</v>
      </c>
      <c r="H266">
        <f t="shared" si="12"/>
        <v>8</v>
      </c>
      <c r="I266">
        <f t="shared" si="13"/>
        <v>12.8</v>
      </c>
      <c r="J266">
        <f t="shared" si="14"/>
        <v>11.2</v>
      </c>
      <c r="L266">
        <v>20</v>
      </c>
      <c r="M266">
        <v>5</v>
      </c>
      <c r="N266" t="s">
        <v>16</v>
      </c>
      <c r="O266" t="s">
        <v>17</v>
      </c>
    </row>
    <row r="267" spans="3:15" ht="15.75" x14ac:dyDescent="0.25">
      <c r="C267" t="s">
        <v>294</v>
      </c>
      <c r="D267" t="s">
        <v>341</v>
      </c>
      <c r="E267" t="s">
        <v>438</v>
      </c>
      <c r="F267" t="s">
        <v>15</v>
      </c>
      <c r="G267" s="1">
        <v>12</v>
      </c>
      <c r="H267">
        <f t="shared" si="12"/>
        <v>6</v>
      </c>
      <c r="I267">
        <f t="shared" si="13"/>
        <v>9.6000000000000014</v>
      </c>
      <c r="J267">
        <f t="shared" si="14"/>
        <v>8.3999999999999986</v>
      </c>
      <c r="L267">
        <v>20</v>
      </c>
      <c r="M267">
        <v>5</v>
      </c>
      <c r="N267" t="s">
        <v>16</v>
      </c>
      <c r="O267" t="s">
        <v>17</v>
      </c>
    </row>
    <row r="268" spans="3:15" ht="15.75" x14ac:dyDescent="0.25">
      <c r="C268" t="s">
        <v>295</v>
      </c>
      <c r="D268" t="s">
        <v>341</v>
      </c>
      <c r="E268" t="s">
        <v>438</v>
      </c>
      <c r="F268" t="s">
        <v>15</v>
      </c>
      <c r="G268" s="1">
        <v>12</v>
      </c>
      <c r="H268">
        <f t="shared" si="12"/>
        <v>6</v>
      </c>
      <c r="I268">
        <f t="shared" si="13"/>
        <v>9.6000000000000014</v>
      </c>
      <c r="J268">
        <f t="shared" si="14"/>
        <v>8.3999999999999986</v>
      </c>
      <c r="L268">
        <v>20</v>
      </c>
      <c r="M268">
        <v>5</v>
      </c>
      <c r="N268" t="s">
        <v>16</v>
      </c>
      <c r="O268" t="s">
        <v>17</v>
      </c>
    </row>
    <row r="269" spans="3:15" ht="15.75" x14ac:dyDescent="0.25">
      <c r="C269" t="s">
        <v>296</v>
      </c>
      <c r="D269" t="s">
        <v>341</v>
      </c>
      <c r="E269" t="s">
        <v>439</v>
      </c>
      <c r="F269" t="s">
        <v>15</v>
      </c>
      <c r="G269" s="1">
        <v>12</v>
      </c>
      <c r="H269">
        <f t="shared" si="12"/>
        <v>6</v>
      </c>
      <c r="I269">
        <f t="shared" si="13"/>
        <v>9.6000000000000014</v>
      </c>
      <c r="J269">
        <f t="shared" si="14"/>
        <v>8.3999999999999986</v>
      </c>
      <c r="L269">
        <v>20</v>
      </c>
      <c r="M269">
        <v>5</v>
      </c>
      <c r="N269" t="s">
        <v>16</v>
      </c>
      <c r="O269" t="s">
        <v>17</v>
      </c>
    </row>
    <row r="270" spans="3:15" ht="15.75" x14ac:dyDescent="0.25">
      <c r="C270" t="s">
        <v>297</v>
      </c>
      <c r="D270" t="s">
        <v>341</v>
      </c>
      <c r="E270" t="s">
        <v>440</v>
      </c>
      <c r="F270" t="s">
        <v>15</v>
      </c>
      <c r="G270" s="1">
        <v>12</v>
      </c>
      <c r="H270">
        <f t="shared" si="12"/>
        <v>6</v>
      </c>
      <c r="I270">
        <f t="shared" si="13"/>
        <v>9.6000000000000014</v>
      </c>
      <c r="J270">
        <f t="shared" si="14"/>
        <v>8.3999999999999986</v>
      </c>
      <c r="L270">
        <v>20</v>
      </c>
      <c r="M270">
        <v>5</v>
      </c>
      <c r="N270" t="s">
        <v>16</v>
      </c>
      <c r="O270" t="s">
        <v>17</v>
      </c>
    </row>
    <row r="271" spans="3:15" ht="15.75" x14ac:dyDescent="0.25">
      <c r="C271" t="s">
        <v>298</v>
      </c>
      <c r="D271" t="s">
        <v>341</v>
      </c>
      <c r="E271" t="s">
        <v>438</v>
      </c>
      <c r="F271" t="s">
        <v>15</v>
      </c>
      <c r="G271" s="1">
        <v>7</v>
      </c>
      <c r="H271">
        <f t="shared" si="12"/>
        <v>3.5</v>
      </c>
      <c r="I271">
        <f t="shared" si="13"/>
        <v>5.6000000000000005</v>
      </c>
      <c r="J271">
        <f t="shared" si="14"/>
        <v>4.8999999999999995</v>
      </c>
      <c r="L271">
        <v>20</v>
      </c>
      <c r="M271">
        <v>5</v>
      </c>
      <c r="N271" t="s">
        <v>16</v>
      </c>
      <c r="O271" t="s">
        <v>17</v>
      </c>
    </row>
    <row r="272" spans="3:15" ht="15.75" x14ac:dyDescent="0.25">
      <c r="C272" t="s">
        <v>299</v>
      </c>
      <c r="D272" t="s">
        <v>341</v>
      </c>
      <c r="E272" t="s">
        <v>438</v>
      </c>
      <c r="F272" t="s">
        <v>15</v>
      </c>
      <c r="G272" s="1">
        <v>7</v>
      </c>
      <c r="H272">
        <f t="shared" si="12"/>
        <v>3.5</v>
      </c>
      <c r="I272">
        <f t="shared" si="13"/>
        <v>5.6000000000000005</v>
      </c>
      <c r="J272">
        <f t="shared" si="14"/>
        <v>4.8999999999999995</v>
      </c>
      <c r="L272">
        <v>20</v>
      </c>
      <c r="M272">
        <v>5</v>
      </c>
      <c r="N272" t="s">
        <v>16</v>
      </c>
      <c r="O272" t="s">
        <v>17</v>
      </c>
    </row>
    <row r="273" spans="3:15" ht="15.75" x14ac:dyDescent="0.25">
      <c r="C273" t="s">
        <v>300</v>
      </c>
      <c r="D273" t="s">
        <v>341</v>
      </c>
      <c r="E273" t="s">
        <v>438</v>
      </c>
      <c r="F273" t="s">
        <v>15</v>
      </c>
      <c r="G273" s="1">
        <v>7</v>
      </c>
      <c r="H273">
        <f t="shared" si="12"/>
        <v>3.5</v>
      </c>
      <c r="I273">
        <f t="shared" si="13"/>
        <v>5.6000000000000005</v>
      </c>
      <c r="J273">
        <f t="shared" si="14"/>
        <v>4.8999999999999995</v>
      </c>
      <c r="L273">
        <v>20</v>
      </c>
      <c r="M273">
        <v>5</v>
      </c>
      <c r="N273" t="s">
        <v>16</v>
      </c>
      <c r="O273" t="s">
        <v>17</v>
      </c>
    </row>
    <row r="274" spans="3:15" ht="15.75" x14ac:dyDescent="0.25">
      <c r="C274" t="s">
        <v>301</v>
      </c>
      <c r="D274" t="s">
        <v>341</v>
      </c>
      <c r="E274" t="s">
        <v>438</v>
      </c>
      <c r="F274" t="s">
        <v>15</v>
      </c>
      <c r="G274" s="1">
        <v>7</v>
      </c>
      <c r="H274">
        <f t="shared" si="12"/>
        <v>3.5</v>
      </c>
      <c r="I274">
        <f t="shared" si="13"/>
        <v>5.6000000000000005</v>
      </c>
      <c r="J274">
        <f t="shared" si="14"/>
        <v>4.8999999999999995</v>
      </c>
      <c r="L274">
        <v>20</v>
      </c>
      <c r="M274">
        <v>5</v>
      </c>
      <c r="N274" t="s">
        <v>16</v>
      </c>
      <c r="O274" t="s">
        <v>17</v>
      </c>
    </row>
    <row r="275" spans="3:15" ht="15.75" x14ac:dyDescent="0.25">
      <c r="C275" t="s">
        <v>302</v>
      </c>
      <c r="D275" t="s">
        <v>341</v>
      </c>
      <c r="E275" t="s">
        <v>439</v>
      </c>
      <c r="F275" t="s">
        <v>15</v>
      </c>
      <c r="G275" s="1">
        <v>7</v>
      </c>
      <c r="H275">
        <f t="shared" si="12"/>
        <v>3.5</v>
      </c>
      <c r="I275">
        <f t="shared" si="13"/>
        <v>5.6000000000000005</v>
      </c>
      <c r="J275">
        <f t="shared" si="14"/>
        <v>4.8999999999999995</v>
      </c>
      <c r="L275">
        <v>20</v>
      </c>
      <c r="M275">
        <v>5</v>
      </c>
      <c r="N275" t="s">
        <v>16</v>
      </c>
      <c r="O275" t="s">
        <v>17</v>
      </c>
    </row>
    <row r="276" spans="3:15" ht="15.75" x14ac:dyDescent="0.25">
      <c r="C276" t="s">
        <v>303</v>
      </c>
      <c r="D276" t="s">
        <v>341</v>
      </c>
      <c r="E276" t="s">
        <v>440</v>
      </c>
      <c r="F276" t="s">
        <v>15</v>
      </c>
      <c r="G276" s="1">
        <v>7</v>
      </c>
      <c r="H276">
        <f t="shared" si="12"/>
        <v>3.5</v>
      </c>
      <c r="I276">
        <f t="shared" si="13"/>
        <v>5.6000000000000005</v>
      </c>
      <c r="J276">
        <f t="shared" si="14"/>
        <v>4.8999999999999995</v>
      </c>
      <c r="L276">
        <v>20</v>
      </c>
      <c r="M276">
        <v>5</v>
      </c>
      <c r="N276" t="s">
        <v>16</v>
      </c>
      <c r="O276" t="s">
        <v>17</v>
      </c>
    </row>
    <row r="277" spans="3:15" ht="15.75" x14ac:dyDescent="0.25">
      <c r="C277" t="s">
        <v>304</v>
      </c>
      <c r="D277" t="s">
        <v>341</v>
      </c>
      <c r="E277" t="s">
        <v>441</v>
      </c>
      <c r="F277" t="s">
        <v>15</v>
      </c>
      <c r="G277" s="1">
        <v>3.9</v>
      </c>
      <c r="H277">
        <f t="shared" si="12"/>
        <v>1.95</v>
      </c>
      <c r="I277">
        <f t="shared" si="13"/>
        <v>3.12</v>
      </c>
      <c r="J277">
        <f t="shared" si="14"/>
        <v>2.73</v>
      </c>
      <c r="L277">
        <v>20</v>
      </c>
      <c r="M277">
        <v>5</v>
      </c>
      <c r="N277" t="s">
        <v>16</v>
      </c>
      <c r="O277" t="s">
        <v>17</v>
      </c>
    </row>
    <row r="278" spans="3:15" ht="15.75" x14ac:dyDescent="0.25">
      <c r="C278" t="s">
        <v>305</v>
      </c>
      <c r="D278" t="s">
        <v>341</v>
      </c>
      <c r="E278" t="s">
        <v>441</v>
      </c>
      <c r="F278" t="s">
        <v>15</v>
      </c>
      <c r="G278" s="1">
        <v>9</v>
      </c>
      <c r="H278">
        <f t="shared" si="12"/>
        <v>4.5</v>
      </c>
      <c r="I278">
        <f t="shared" si="13"/>
        <v>7.2</v>
      </c>
      <c r="J278">
        <f t="shared" si="14"/>
        <v>6.3</v>
      </c>
      <c r="L278">
        <v>20</v>
      </c>
      <c r="M278">
        <v>5</v>
      </c>
      <c r="N278" t="s">
        <v>16</v>
      </c>
      <c r="O278" t="s">
        <v>17</v>
      </c>
    </row>
    <row r="279" spans="3:15" ht="15.75" x14ac:dyDescent="0.25">
      <c r="C279" t="s">
        <v>306</v>
      </c>
      <c r="D279" t="s">
        <v>341</v>
      </c>
      <c r="E279" t="s">
        <v>442</v>
      </c>
      <c r="F279" t="s">
        <v>15</v>
      </c>
      <c r="G279" s="1">
        <v>4.9000000000000004</v>
      </c>
      <c r="H279">
        <f t="shared" si="12"/>
        <v>2.4500000000000002</v>
      </c>
      <c r="I279">
        <f t="shared" si="13"/>
        <v>3.9200000000000004</v>
      </c>
      <c r="J279">
        <f t="shared" si="14"/>
        <v>3.43</v>
      </c>
      <c r="L279">
        <v>20</v>
      </c>
      <c r="M279">
        <v>5</v>
      </c>
      <c r="N279" t="s">
        <v>16</v>
      </c>
      <c r="O279" t="s">
        <v>17</v>
      </c>
    </row>
    <row r="280" spans="3:15" ht="15.75" x14ac:dyDescent="0.25">
      <c r="C280" t="s">
        <v>307</v>
      </c>
      <c r="D280" t="s">
        <v>341</v>
      </c>
      <c r="E280" t="s">
        <v>443</v>
      </c>
      <c r="F280" t="s">
        <v>15</v>
      </c>
      <c r="G280" s="1">
        <v>8.9</v>
      </c>
      <c r="H280">
        <f t="shared" si="12"/>
        <v>4.45</v>
      </c>
      <c r="I280">
        <f t="shared" si="13"/>
        <v>7.120000000000001</v>
      </c>
      <c r="J280">
        <f t="shared" si="14"/>
        <v>6.2299999999999995</v>
      </c>
      <c r="L280">
        <v>20</v>
      </c>
      <c r="M280">
        <v>5</v>
      </c>
      <c r="N280" t="s">
        <v>16</v>
      </c>
      <c r="O280" t="s">
        <v>17</v>
      </c>
    </row>
    <row r="281" spans="3:15" ht="15.75" x14ac:dyDescent="0.25">
      <c r="C281" t="s">
        <v>308</v>
      </c>
      <c r="D281" t="s">
        <v>341</v>
      </c>
      <c r="E281" t="s">
        <v>443</v>
      </c>
      <c r="F281" t="s">
        <v>15</v>
      </c>
      <c r="G281" s="1">
        <v>8.9</v>
      </c>
      <c r="H281">
        <f t="shared" si="12"/>
        <v>4.45</v>
      </c>
      <c r="I281">
        <f t="shared" si="13"/>
        <v>7.120000000000001</v>
      </c>
      <c r="J281">
        <f t="shared" si="14"/>
        <v>6.2299999999999995</v>
      </c>
      <c r="L281">
        <v>20</v>
      </c>
      <c r="M281">
        <v>5</v>
      </c>
      <c r="N281" t="s">
        <v>16</v>
      </c>
      <c r="O281" t="s">
        <v>17</v>
      </c>
    </row>
    <row r="282" spans="3:15" ht="15.75" x14ac:dyDescent="0.25">
      <c r="C282" t="s">
        <v>309</v>
      </c>
      <c r="D282" t="s">
        <v>341</v>
      </c>
      <c r="E282" t="s">
        <v>443</v>
      </c>
      <c r="F282" t="s">
        <v>15</v>
      </c>
      <c r="G282" s="1">
        <v>13</v>
      </c>
      <c r="H282">
        <f t="shared" si="12"/>
        <v>6.5</v>
      </c>
      <c r="I282">
        <f t="shared" si="13"/>
        <v>10.4</v>
      </c>
      <c r="J282">
        <f t="shared" si="14"/>
        <v>9.1</v>
      </c>
      <c r="L282">
        <v>20</v>
      </c>
      <c r="M282">
        <v>5</v>
      </c>
      <c r="N282" t="s">
        <v>16</v>
      </c>
      <c r="O282" t="s">
        <v>17</v>
      </c>
    </row>
    <row r="283" spans="3:15" ht="15.75" x14ac:dyDescent="0.25">
      <c r="C283" t="s">
        <v>310</v>
      </c>
      <c r="D283" t="s">
        <v>341</v>
      </c>
      <c r="E283" t="s">
        <v>443</v>
      </c>
      <c r="F283" t="s">
        <v>15</v>
      </c>
      <c r="G283" s="1">
        <v>8.9</v>
      </c>
      <c r="H283">
        <f t="shared" si="12"/>
        <v>4.45</v>
      </c>
      <c r="I283">
        <f t="shared" si="13"/>
        <v>7.120000000000001</v>
      </c>
      <c r="J283">
        <f t="shared" si="14"/>
        <v>6.2299999999999995</v>
      </c>
      <c r="L283">
        <v>20</v>
      </c>
      <c r="M283">
        <v>5</v>
      </c>
      <c r="N283" t="s">
        <v>16</v>
      </c>
      <c r="O283" t="s">
        <v>17</v>
      </c>
    </row>
    <row r="284" spans="3:15" ht="15.75" x14ac:dyDescent="0.25">
      <c r="C284" t="s">
        <v>311</v>
      </c>
      <c r="D284" t="s">
        <v>341</v>
      </c>
      <c r="E284" t="s">
        <v>443</v>
      </c>
      <c r="F284" t="s">
        <v>15</v>
      </c>
      <c r="G284" s="1">
        <v>13</v>
      </c>
      <c r="H284">
        <f t="shared" si="12"/>
        <v>6.5</v>
      </c>
      <c r="I284">
        <f t="shared" si="13"/>
        <v>10.4</v>
      </c>
      <c r="J284">
        <f t="shared" si="14"/>
        <v>9.1</v>
      </c>
      <c r="L284">
        <v>20</v>
      </c>
      <c r="M284">
        <v>5</v>
      </c>
      <c r="N284" t="s">
        <v>16</v>
      </c>
      <c r="O284" t="s">
        <v>17</v>
      </c>
    </row>
    <row r="285" spans="3:15" ht="15.75" x14ac:dyDescent="0.25">
      <c r="C285" t="s">
        <v>312</v>
      </c>
      <c r="D285" t="s">
        <v>341</v>
      </c>
      <c r="E285" t="s">
        <v>444</v>
      </c>
      <c r="F285" t="s">
        <v>15</v>
      </c>
      <c r="G285" s="1">
        <v>4.5</v>
      </c>
      <c r="H285">
        <f t="shared" si="12"/>
        <v>2.25</v>
      </c>
      <c r="I285">
        <f t="shared" si="13"/>
        <v>3.6</v>
      </c>
      <c r="J285">
        <f t="shared" si="14"/>
        <v>3.15</v>
      </c>
      <c r="L285">
        <v>20</v>
      </c>
      <c r="M285">
        <v>5</v>
      </c>
      <c r="N285" t="s">
        <v>16</v>
      </c>
      <c r="O285" t="s">
        <v>17</v>
      </c>
    </row>
    <row r="286" spans="3:15" ht="15.75" x14ac:dyDescent="0.25">
      <c r="C286" t="s">
        <v>313</v>
      </c>
      <c r="D286" t="s">
        <v>341</v>
      </c>
      <c r="E286" t="s">
        <v>444</v>
      </c>
      <c r="F286" t="s">
        <v>15</v>
      </c>
      <c r="G286" s="1">
        <v>8</v>
      </c>
      <c r="H286">
        <f t="shared" si="12"/>
        <v>4</v>
      </c>
      <c r="I286">
        <f t="shared" si="13"/>
        <v>6.4</v>
      </c>
      <c r="J286">
        <f t="shared" si="14"/>
        <v>5.6</v>
      </c>
      <c r="L286">
        <v>20</v>
      </c>
      <c r="M286">
        <v>5</v>
      </c>
      <c r="N286" t="s">
        <v>16</v>
      </c>
      <c r="O286" t="s">
        <v>17</v>
      </c>
    </row>
    <row r="287" spans="3:15" ht="15.75" x14ac:dyDescent="0.25">
      <c r="C287" t="s">
        <v>314</v>
      </c>
      <c r="D287" t="s">
        <v>341</v>
      </c>
      <c r="E287" t="s">
        <v>445</v>
      </c>
      <c r="F287" t="s">
        <v>15</v>
      </c>
      <c r="G287" s="1">
        <v>13</v>
      </c>
      <c r="H287">
        <f t="shared" si="12"/>
        <v>6.5</v>
      </c>
      <c r="I287">
        <f t="shared" si="13"/>
        <v>10.4</v>
      </c>
      <c r="J287">
        <f t="shared" si="14"/>
        <v>9.1</v>
      </c>
      <c r="L287">
        <v>20</v>
      </c>
      <c r="M287">
        <v>5</v>
      </c>
      <c r="N287" t="s">
        <v>16</v>
      </c>
      <c r="O287" t="s">
        <v>17</v>
      </c>
    </row>
    <row r="288" spans="3:15" ht="15.75" x14ac:dyDescent="0.25">
      <c r="C288" t="s">
        <v>315</v>
      </c>
      <c r="D288" t="s">
        <v>341</v>
      </c>
      <c r="E288" t="s">
        <v>445</v>
      </c>
      <c r="F288" t="s">
        <v>15</v>
      </c>
      <c r="G288" s="1">
        <v>13</v>
      </c>
      <c r="H288">
        <f t="shared" si="12"/>
        <v>6.5</v>
      </c>
      <c r="I288">
        <f t="shared" si="13"/>
        <v>10.4</v>
      </c>
      <c r="J288">
        <f t="shared" si="14"/>
        <v>9.1</v>
      </c>
      <c r="L288">
        <v>20</v>
      </c>
      <c r="M288">
        <v>5</v>
      </c>
      <c r="N288" t="s">
        <v>16</v>
      </c>
      <c r="O288" t="s">
        <v>17</v>
      </c>
    </row>
    <row r="289" spans="3:15" ht="15.75" x14ac:dyDescent="0.25">
      <c r="C289" t="s">
        <v>316</v>
      </c>
      <c r="D289" t="s">
        <v>341</v>
      </c>
      <c r="E289" t="s">
        <v>18</v>
      </c>
      <c r="F289" t="s">
        <v>15</v>
      </c>
      <c r="G289" s="1">
        <v>13</v>
      </c>
      <c r="H289">
        <f t="shared" si="12"/>
        <v>6.5</v>
      </c>
      <c r="I289">
        <f t="shared" si="13"/>
        <v>10.4</v>
      </c>
      <c r="J289">
        <f t="shared" si="14"/>
        <v>9.1</v>
      </c>
      <c r="L289">
        <v>20</v>
      </c>
      <c r="M289">
        <v>5</v>
      </c>
      <c r="N289" t="s">
        <v>16</v>
      </c>
      <c r="O289" t="s">
        <v>17</v>
      </c>
    </row>
    <row r="290" spans="3:15" ht="15.75" x14ac:dyDescent="0.25">
      <c r="C290" t="s">
        <v>317</v>
      </c>
      <c r="D290" t="s">
        <v>341</v>
      </c>
      <c r="E290" t="s">
        <v>445</v>
      </c>
      <c r="F290" t="s">
        <v>15</v>
      </c>
      <c r="G290" s="1">
        <v>13</v>
      </c>
      <c r="H290">
        <f t="shared" si="12"/>
        <v>6.5</v>
      </c>
      <c r="I290">
        <f t="shared" si="13"/>
        <v>10.4</v>
      </c>
      <c r="J290">
        <f t="shared" si="14"/>
        <v>9.1</v>
      </c>
      <c r="L290">
        <v>20</v>
      </c>
      <c r="M290">
        <v>5</v>
      </c>
      <c r="N290" t="s">
        <v>16</v>
      </c>
      <c r="O290" t="s">
        <v>17</v>
      </c>
    </row>
    <row r="291" spans="3:15" ht="15.75" x14ac:dyDescent="0.25">
      <c r="C291" t="s">
        <v>318</v>
      </c>
      <c r="D291" t="s">
        <v>341</v>
      </c>
      <c r="E291" t="s">
        <v>445</v>
      </c>
      <c r="F291" t="s">
        <v>15</v>
      </c>
      <c r="G291" s="1">
        <v>13</v>
      </c>
      <c r="H291">
        <f t="shared" si="12"/>
        <v>6.5</v>
      </c>
      <c r="I291">
        <f t="shared" si="13"/>
        <v>10.4</v>
      </c>
      <c r="J291">
        <f t="shared" si="14"/>
        <v>9.1</v>
      </c>
      <c r="L291">
        <v>20</v>
      </c>
      <c r="M291">
        <v>5</v>
      </c>
      <c r="N291" t="s">
        <v>16</v>
      </c>
      <c r="O291" t="s">
        <v>17</v>
      </c>
    </row>
    <row r="292" spans="3:15" ht="15.75" x14ac:dyDescent="0.25">
      <c r="C292" t="s">
        <v>319</v>
      </c>
      <c r="D292" t="s">
        <v>341</v>
      </c>
      <c r="E292" t="s">
        <v>446</v>
      </c>
      <c r="F292" t="s">
        <v>15</v>
      </c>
      <c r="G292" s="1">
        <v>7.5</v>
      </c>
      <c r="H292">
        <f t="shared" si="12"/>
        <v>3.75</v>
      </c>
      <c r="I292">
        <f t="shared" si="13"/>
        <v>6</v>
      </c>
      <c r="J292">
        <f t="shared" si="14"/>
        <v>5.25</v>
      </c>
      <c r="L292">
        <v>20</v>
      </c>
      <c r="M292">
        <v>5</v>
      </c>
      <c r="N292" t="s">
        <v>16</v>
      </c>
      <c r="O292" t="s">
        <v>17</v>
      </c>
    </row>
    <row r="293" spans="3:15" ht="15.75" x14ac:dyDescent="0.25">
      <c r="C293" t="s">
        <v>320</v>
      </c>
      <c r="D293" t="s">
        <v>341</v>
      </c>
      <c r="E293" t="s">
        <v>447</v>
      </c>
      <c r="F293" t="s">
        <v>15</v>
      </c>
      <c r="G293" s="1">
        <v>13</v>
      </c>
      <c r="H293">
        <f t="shared" si="12"/>
        <v>6.5</v>
      </c>
      <c r="I293">
        <f t="shared" si="13"/>
        <v>10.4</v>
      </c>
      <c r="J293">
        <f t="shared" si="14"/>
        <v>9.1</v>
      </c>
      <c r="L293">
        <v>20</v>
      </c>
      <c r="M293">
        <v>5</v>
      </c>
      <c r="N293" t="s">
        <v>16</v>
      </c>
      <c r="O293" t="s">
        <v>17</v>
      </c>
    </row>
    <row r="294" spans="3:15" ht="15.75" x14ac:dyDescent="0.25">
      <c r="C294" t="s">
        <v>321</v>
      </c>
      <c r="D294" t="s">
        <v>341</v>
      </c>
      <c r="E294" t="s">
        <v>447</v>
      </c>
      <c r="F294" t="s">
        <v>15</v>
      </c>
      <c r="G294" s="1">
        <v>13</v>
      </c>
      <c r="H294">
        <f t="shared" si="12"/>
        <v>6.5</v>
      </c>
      <c r="I294">
        <f t="shared" si="13"/>
        <v>10.4</v>
      </c>
      <c r="J294">
        <f t="shared" si="14"/>
        <v>9.1</v>
      </c>
      <c r="L294">
        <v>20</v>
      </c>
      <c r="M294">
        <v>5</v>
      </c>
      <c r="N294" t="s">
        <v>16</v>
      </c>
      <c r="O294" t="s">
        <v>17</v>
      </c>
    </row>
    <row r="295" spans="3:15" ht="15.75" x14ac:dyDescent="0.25">
      <c r="C295" t="s">
        <v>322</v>
      </c>
      <c r="D295" t="s">
        <v>341</v>
      </c>
      <c r="E295" t="s">
        <v>447</v>
      </c>
      <c r="F295" t="s">
        <v>15</v>
      </c>
      <c r="G295" s="1">
        <v>13</v>
      </c>
      <c r="H295">
        <f t="shared" si="12"/>
        <v>6.5</v>
      </c>
      <c r="I295">
        <f t="shared" si="13"/>
        <v>10.4</v>
      </c>
      <c r="J295">
        <f t="shared" si="14"/>
        <v>9.1</v>
      </c>
      <c r="L295">
        <v>20</v>
      </c>
      <c r="M295">
        <v>5</v>
      </c>
      <c r="N295" t="s">
        <v>16</v>
      </c>
      <c r="O295" t="s">
        <v>17</v>
      </c>
    </row>
    <row r="296" spans="3:15" ht="15.75" x14ac:dyDescent="0.25">
      <c r="C296" t="s">
        <v>323</v>
      </c>
      <c r="D296" t="s">
        <v>341</v>
      </c>
      <c r="E296" t="s">
        <v>448</v>
      </c>
      <c r="F296" t="s">
        <v>15</v>
      </c>
      <c r="G296" s="1">
        <v>3.9</v>
      </c>
      <c r="H296">
        <f t="shared" si="12"/>
        <v>1.95</v>
      </c>
      <c r="I296">
        <f t="shared" si="13"/>
        <v>3.12</v>
      </c>
      <c r="J296">
        <f t="shared" si="14"/>
        <v>2.73</v>
      </c>
      <c r="L296">
        <v>20</v>
      </c>
      <c r="M296">
        <v>5</v>
      </c>
      <c r="N296" t="s">
        <v>16</v>
      </c>
      <c r="O296" t="s">
        <v>17</v>
      </c>
    </row>
    <row r="297" spans="3:15" ht="15.75" x14ac:dyDescent="0.25">
      <c r="C297" t="s">
        <v>324</v>
      </c>
      <c r="D297" t="s">
        <v>341</v>
      </c>
      <c r="E297" t="s">
        <v>448</v>
      </c>
      <c r="F297" t="s">
        <v>15</v>
      </c>
      <c r="G297" s="1">
        <v>6.6</v>
      </c>
      <c r="H297">
        <f t="shared" si="12"/>
        <v>3.3</v>
      </c>
      <c r="I297">
        <f t="shared" si="13"/>
        <v>5.28</v>
      </c>
      <c r="J297">
        <f t="shared" si="14"/>
        <v>4.6199999999999992</v>
      </c>
      <c r="L297">
        <v>20</v>
      </c>
      <c r="M297">
        <v>5</v>
      </c>
      <c r="N297" t="s">
        <v>16</v>
      </c>
      <c r="O297" t="s">
        <v>17</v>
      </c>
    </row>
    <row r="298" spans="3:15" ht="15.75" x14ac:dyDescent="0.25">
      <c r="C298" t="s">
        <v>325</v>
      </c>
      <c r="D298" t="s">
        <v>341</v>
      </c>
      <c r="E298" t="s">
        <v>449</v>
      </c>
      <c r="F298" t="s">
        <v>15</v>
      </c>
      <c r="G298" s="1">
        <v>3.9</v>
      </c>
      <c r="H298">
        <f t="shared" si="12"/>
        <v>1.95</v>
      </c>
      <c r="I298">
        <f t="shared" si="13"/>
        <v>3.12</v>
      </c>
      <c r="J298">
        <f t="shared" si="14"/>
        <v>2.73</v>
      </c>
      <c r="L298">
        <v>20</v>
      </c>
      <c r="M298">
        <v>5</v>
      </c>
      <c r="N298" t="s">
        <v>16</v>
      </c>
      <c r="O298" t="s">
        <v>17</v>
      </c>
    </row>
    <row r="299" spans="3:15" ht="15.75" x14ac:dyDescent="0.25">
      <c r="C299" t="s">
        <v>326</v>
      </c>
      <c r="D299" t="s">
        <v>341</v>
      </c>
      <c r="E299" t="s">
        <v>449</v>
      </c>
      <c r="F299" t="s">
        <v>15</v>
      </c>
      <c r="G299" s="1">
        <v>6.6</v>
      </c>
      <c r="H299">
        <f t="shared" si="12"/>
        <v>3.3</v>
      </c>
      <c r="I299">
        <f t="shared" si="13"/>
        <v>5.28</v>
      </c>
      <c r="J299">
        <f t="shared" si="14"/>
        <v>4.6199999999999992</v>
      </c>
      <c r="L299">
        <v>20</v>
      </c>
      <c r="M299">
        <v>5</v>
      </c>
      <c r="N299" t="s">
        <v>16</v>
      </c>
      <c r="O299" t="s">
        <v>17</v>
      </c>
    </row>
    <row r="300" spans="3:15" ht="15.75" x14ac:dyDescent="0.25">
      <c r="C300" t="s">
        <v>327</v>
      </c>
      <c r="D300" t="s">
        <v>341</v>
      </c>
      <c r="E300" t="s">
        <v>450</v>
      </c>
      <c r="F300" t="s">
        <v>15</v>
      </c>
      <c r="G300" s="1">
        <v>8.5</v>
      </c>
      <c r="H300">
        <f t="shared" si="12"/>
        <v>4.25</v>
      </c>
      <c r="I300">
        <f t="shared" si="13"/>
        <v>6.8000000000000007</v>
      </c>
      <c r="J300">
        <f t="shared" si="14"/>
        <v>5.9499999999999993</v>
      </c>
      <c r="L300">
        <v>20</v>
      </c>
      <c r="M300">
        <v>5</v>
      </c>
      <c r="N300" t="s">
        <v>16</v>
      </c>
      <c r="O300" t="s">
        <v>17</v>
      </c>
    </row>
    <row r="301" spans="3:15" ht="15.75" x14ac:dyDescent="0.25">
      <c r="C301" t="s">
        <v>328</v>
      </c>
      <c r="D301" t="s">
        <v>341</v>
      </c>
      <c r="E301" t="s">
        <v>446</v>
      </c>
      <c r="F301" t="s">
        <v>15</v>
      </c>
      <c r="G301" s="1">
        <v>14.9</v>
      </c>
      <c r="H301">
        <f t="shared" si="12"/>
        <v>7.45</v>
      </c>
      <c r="I301">
        <f t="shared" si="13"/>
        <v>11.920000000000002</v>
      </c>
      <c r="J301">
        <f t="shared" si="14"/>
        <v>10.43</v>
      </c>
      <c r="L301">
        <v>20</v>
      </c>
      <c r="M301">
        <v>5</v>
      </c>
      <c r="N301" t="s">
        <v>16</v>
      </c>
      <c r="O301" t="s">
        <v>17</v>
      </c>
    </row>
    <row r="302" spans="3:15" ht="15.75" x14ac:dyDescent="0.25">
      <c r="C302" t="s">
        <v>329</v>
      </c>
      <c r="D302" t="s">
        <v>341</v>
      </c>
      <c r="E302" t="s">
        <v>451</v>
      </c>
      <c r="F302" t="s">
        <v>15</v>
      </c>
      <c r="G302" s="1">
        <v>3.9</v>
      </c>
      <c r="H302">
        <f t="shared" si="12"/>
        <v>1.95</v>
      </c>
      <c r="I302">
        <f t="shared" si="13"/>
        <v>3.12</v>
      </c>
      <c r="J302">
        <f t="shared" si="14"/>
        <v>2.73</v>
      </c>
      <c r="L302">
        <v>20</v>
      </c>
      <c r="M302">
        <v>5</v>
      </c>
      <c r="N302" t="s">
        <v>16</v>
      </c>
      <c r="O302" t="s">
        <v>17</v>
      </c>
    </row>
    <row r="303" spans="3:15" ht="15.75" x14ac:dyDescent="0.25">
      <c r="C303" t="s">
        <v>330</v>
      </c>
      <c r="D303" t="s">
        <v>341</v>
      </c>
      <c r="E303" t="s">
        <v>451</v>
      </c>
      <c r="F303" t="s">
        <v>15</v>
      </c>
      <c r="G303" s="1">
        <v>6.6</v>
      </c>
      <c r="H303">
        <f t="shared" si="12"/>
        <v>3.3</v>
      </c>
      <c r="I303">
        <f t="shared" si="13"/>
        <v>5.28</v>
      </c>
      <c r="J303">
        <f t="shared" si="14"/>
        <v>4.6199999999999992</v>
      </c>
      <c r="L303">
        <v>20</v>
      </c>
      <c r="M303">
        <v>5</v>
      </c>
      <c r="N303" t="s">
        <v>16</v>
      </c>
      <c r="O303" t="s">
        <v>17</v>
      </c>
    </row>
    <row r="304" spans="3:15" ht="15.75" x14ac:dyDescent="0.25">
      <c r="C304" t="s">
        <v>331</v>
      </c>
      <c r="D304" t="s">
        <v>341</v>
      </c>
      <c r="E304" t="s">
        <v>452</v>
      </c>
      <c r="F304" t="s">
        <v>15</v>
      </c>
      <c r="G304" s="1">
        <v>3.5</v>
      </c>
      <c r="H304">
        <f t="shared" si="12"/>
        <v>1.75</v>
      </c>
      <c r="I304">
        <f t="shared" si="13"/>
        <v>2.8000000000000003</v>
      </c>
      <c r="J304">
        <f t="shared" si="14"/>
        <v>2.4499999999999997</v>
      </c>
      <c r="L304">
        <v>20</v>
      </c>
      <c r="M304">
        <v>5</v>
      </c>
      <c r="N304" t="s">
        <v>16</v>
      </c>
      <c r="O304" t="s">
        <v>17</v>
      </c>
    </row>
    <row r="305" spans="3:15" ht="15.75" x14ac:dyDescent="0.25">
      <c r="C305" t="s">
        <v>332</v>
      </c>
      <c r="D305" t="s">
        <v>341</v>
      </c>
      <c r="E305" t="s">
        <v>452</v>
      </c>
      <c r="F305" t="s">
        <v>15</v>
      </c>
      <c r="G305" s="1">
        <v>7.9</v>
      </c>
      <c r="H305">
        <f t="shared" si="12"/>
        <v>3.95</v>
      </c>
      <c r="I305">
        <f t="shared" si="13"/>
        <v>6.32</v>
      </c>
      <c r="J305">
        <f t="shared" si="14"/>
        <v>5.53</v>
      </c>
      <c r="L305">
        <v>20</v>
      </c>
      <c r="M305">
        <v>5</v>
      </c>
      <c r="N305" t="s">
        <v>16</v>
      </c>
      <c r="O305" t="s">
        <v>17</v>
      </c>
    </row>
    <row r="306" spans="3:15" ht="15.75" x14ac:dyDescent="0.25">
      <c r="C306" t="s">
        <v>333</v>
      </c>
      <c r="D306" t="s">
        <v>341</v>
      </c>
      <c r="E306" t="s">
        <v>453</v>
      </c>
      <c r="F306" t="s">
        <v>15</v>
      </c>
      <c r="G306" s="1">
        <v>4.5</v>
      </c>
      <c r="H306">
        <f t="shared" si="12"/>
        <v>2.25</v>
      </c>
      <c r="I306">
        <f t="shared" si="13"/>
        <v>3.6</v>
      </c>
      <c r="J306">
        <f t="shared" si="14"/>
        <v>3.15</v>
      </c>
      <c r="L306">
        <v>20</v>
      </c>
      <c r="M306">
        <v>5</v>
      </c>
      <c r="N306" t="s">
        <v>16</v>
      </c>
      <c r="O306" t="s">
        <v>17</v>
      </c>
    </row>
    <row r="307" spans="3:15" ht="15.75" x14ac:dyDescent="0.25">
      <c r="C307" t="s">
        <v>334</v>
      </c>
      <c r="D307" t="s">
        <v>341</v>
      </c>
      <c r="E307" t="s">
        <v>453</v>
      </c>
      <c r="F307" t="s">
        <v>15</v>
      </c>
      <c r="G307" s="1">
        <v>7.5</v>
      </c>
      <c r="H307">
        <f t="shared" si="12"/>
        <v>3.75</v>
      </c>
      <c r="I307">
        <f t="shared" si="13"/>
        <v>6</v>
      </c>
      <c r="J307">
        <f t="shared" si="14"/>
        <v>5.25</v>
      </c>
      <c r="L307">
        <v>20</v>
      </c>
      <c r="M307">
        <v>5</v>
      </c>
      <c r="N307" t="s">
        <v>16</v>
      </c>
      <c r="O307" t="s">
        <v>17</v>
      </c>
    </row>
    <row r="308" spans="3:15" ht="15.75" x14ac:dyDescent="0.25">
      <c r="C308" t="s">
        <v>335</v>
      </c>
      <c r="D308" t="s">
        <v>341</v>
      </c>
      <c r="E308" t="s">
        <v>447</v>
      </c>
      <c r="F308" t="s">
        <v>15</v>
      </c>
      <c r="G308" s="1">
        <v>13</v>
      </c>
      <c r="H308">
        <f t="shared" si="12"/>
        <v>6.5</v>
      </c>
      <c r="I308">
        <f t="shared" si="13"/>
        <v>10.4</v>
      </c>
      <c r="J308">
        <f t="shared" si="14"/>
        <v>9.1</v>
      </c>
      <c r="L308">
        <v>20</v>
      </c>
      <c r="M308">
        <v>5</v>
      </c>
      <c r="N308" t="s">
        <v>16</v>
      </c>
      <c r="O308" t="s">
        <v>17</v>
      </c>
    </row>
    <row r="309" spans="3:15" ht="15.75" x14ac:dyDescent="0.25">
      <c r="C309" t="s">
        <v>336</v>
      </c>
      <c r="D309" t="s">
        <v>341</v>
      </c>
      <c r="E309" t="s">
        <v>447</v>
      </c>
      <c r="F309" t="s">
        <v>15</v>
      </c>
      <c r="G309" s="1">
        <v>13</v>
      </c>
      <c r="H309">
        <f t="shared" si="12"/>
        <v>6.5</v>
      </c>
      <c r="I309">
        <f t="shared" si="13"/>
        <v>10.4</v>
      </c>
      <c r="J309">
        <f t="shared" si="14"/>
        <v>9.1</v>
      </c>
      <c r="L309">
        <v>20</v>
      </c>
      <c r="M309">
        <v>5</v>
      </c>
      <c r="N309" t="s">
        <v>16</v>
      </c>
      <c r="O309" t="s">
        <v>17</v>
      </c>
    </row>
    <row r="310" spans="3:15" ht="15.75" x14ac:dyDescent="0.25">
      <c r="C310" t="s">
        <v>337</v>
      </c>
      <c r="D310" t="s">
        <v>341</v>
      </c>
      <c r="E310" t="s">
        <v>450</v>
      </c>
      <c r="F310" t="s">
        <v>15</v>
      </c>
      <c r="G310" s="1">
        <v>15.9</v>
      </c>
      <c r="H310">
        <f t="shared" si="12"/>
        <v>7.95</v>
      </c>
      <c r="I310">
        <f t="shared" si="13"/>
        <v>12.72</v>
      </c>
      <c r="J310">
        <f t="shared" si="14"/>
        <v>11.129999999999999</v>
      </c>
      <c r="L310">
        <v>20</v>
      </c>
      <c r="M310">
        <v>5</v>
      </c>
      <c r="N310" t="s">
        <v>16</v>
      </c>
      <c r="O310" t="s">
        <v>17</v>
      </c>
    </row>
  </sheetData>
  <dataValidations count="3">
    <dataValidation type="textLength" operator="greaterThanOrEqual" showErrorMessage="1" sqref="C2:C310" xr:uid="{4E8873D6-7F96-4C84-9AB6-3E3D55F27BA8}">
      <formula1>1</formula1>
    </dataValidation>
    <dataValidation type="textLength" operator="lessThan" allowBlank="1" showErrorMessage="1" sqref="D2:D310" xr:uid="{40CBC5EA-9D8A-48A4-BD0D-0880EF734AFC}">
      <formula1>20</formula1>
    </dataValidation>
    <dataValidation type="decimal" operator="greaterThan" showErrorMessage="1" sqref="G2:G310" xr:uid="{E18ECC75-EED7-4278-A16D-55BC77EA23E5}">
      <formula1>0</formula1>
    </dataValidation>
  </dataValidations>
  <pageMargins left="0.511811024" right="0.511811024" top="0.78740157499999996" bottom="0.78740157499999996" header="0.31496062000000002" footer="0.31496062000000002"/>
  <ignoredErrors>
    <ignoredError sqref="A1:O1 F2 K4 N2:O2 N3:O3 N4:O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5" x14ac:dyDescent="0.25"/>
  <cols>
    <col min="1" max="1" width="110.875" customWidth="1"/>
  </cols>
  <sheetData>
    <row r="1" spans="1:1" ht="15.75" x14ac:dyDescent="0.25">
      <c r="A1" t="s">
        <v>19</v>
      </c>
    </row>
    <row r="2" spans="1:1" ht="15.75" x14ac:dyDescent="0.25">
      <c r="A2" t="s">
        <v>20</v>
      </c>
    </row>
    <row r="3" spans="1:1" ht="15.75" x14ac:dyDescent="0.25">
      <c r="A3" t="s">
        <v>21</v>
      </c>
    </row>
    <row r="4" spans="1:1" ht="15.75" x14ac:dyDescent="0.25">
      <c r="A4" t="s">
        <v>22</v>
      </c>
    </row>
    <row r="5" spans="1:1" ht="15.75" x14ac:dyDescent="0.25">
      <c r="A5" t="s">
        <v>23</v>
      </c>
    </row>
    <row r="6" spans="1:1" ht="15.75" x14ac:dyDescent="0.25">
      <c r="A6" t="s">
        <v>24</v>
      </c>
    </row>
    <row r="7" spans="1:1" ht="15.75" x14ac:dyDescent="0.25">
      <c r="A7" t="s">
        <v>25</v>
      </c>
    </row>
    <row r="8" spans="1:1" ht="15.75" x14ac:dyDescent="0.25">
      <c r="A8" t="s">
        <v>26</v>
      </c>
    </row>
    <row r="9" spans="1:1" ht="15.75" x14ac:dyDescent="0.25">
      <c r="A9" t="s">
        <v>27</v>
      </c>
    </row>
    <row r="10" spans="1:1" ht="15.75" x14ac:dyDescent="0.25">
      <c r="A10" t="s">
        <v>28</v>
      </c>
    </row>
    <row r="11" spans="1:1" ht="15.75" x14ac:dyDescent="0.25">
      <c r="A11" t="s">
        <v>29</v>
      </c>
    </row>
  </sheetData>
  <pageMargins left="0.511811024" right="0.511811024" top="0.78740157499999996" bottom="0.78740157499999996" header="0.31496062000000002" footer="0.31496062000000002"/>
  <ignoredErrors>
    <ignoredError sqref="A1:A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Produtos</vt:lpstr>
      <vt:lpstr>Como Preencher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2026-09-02T17:52:21Z</dcterms:created>
  <dcterms:modified xsi:type="dcterms:W3CDTF">2026-09-02T17:52:21Z</dcterms:modified>
</cp:coreProperties>
</file>